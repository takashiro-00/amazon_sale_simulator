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ule" sheetId="2" state="visible" r:id="rId2"/>
    <sheet name="Tham số G1" sheetId="3" state="visible" r:id="rId3"/>
    <sheet name="Thang budget" sheetId="4" state="visible" r:id="rId4"/>
    <sheet name="Nguyên tắc G1-G8" sheetId="5" state="visible" r:id="rId5"/>
    <sheet name="Test case" sheetId="6" state="visible" r:id="rId6"/>
    <sheet name="Unit test" sheetId="7" state="visible" r:id="rId7"/>
    <sheet name="Thử nghiệm v3.2" sheetId="8" state="visible" r:id="rId8"/>
  </sheets>
  <definedNames>
    <definedName name="_xlnm._FilterDatabase" localSheetId="1" hidden="1">'Rule'!$A$4:$L$28</definedName>
    <definedName name="_xlnm._FilterDatabase" localSheetId="4" hidden="1">'Nguyên tắc G1-G8'!$A$4:$C$12</definedName>
    <definedName name="_xlnm._FilterDatabase" localSheetId="5" hidden="1">'Test case'!$A$4:$J$41</definedName>
    <definedName name="_xlnm._FilterDatabase" localSheetId="6" hidden="1">'Unit test'!$A$4:$E$346</definedName>
    <definedName name="_xlnm._FilterDatabase" localSheetId="7" hidden="1">'Thử nghiệm v3.2'!$A$4:$F$11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8" fillId="0" borderId="1" pivotButton="0" quotePrefix="0" xfId="0"/>
    <xf numFmtId="165" fontId="8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6" fillId="4" borderId="1" pivotButton="0" quotePrefix="0" xfId="0"/>
    <xf numFmtId="165" fontId="6" fillId="4" borderId="1" pivotButton="0" quotePrefix="0" xfId="0"/>
    <xf numFmtId="0" fontId="5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164" fontId="6" fillId="0" borderId="1" pivotButton="0" quotePrefix="0" xfId="0"/>
    <xf numFmtId="49" fontId="4" fillId="0" borderId="1" pivotButton="0" quotePrefix="0" xfId="0"/>
    <xf numFmtId="0" fontId="7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B19" authorId="0" shapeId="0">
      <text>
        <t>Hằng số cố định theo spec v3.1/v3.2 (Bid_min = $0.20).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  <col width="34" customWidth="1" min="3" max="3"/>
  </cols>
  <sheetData>
    <row r="1">
      <c r="A1" s="1" t="inlineStr">
        <is>
          <t>Amazon PPC Automation — Rule v3.2 và test case</t>
        </is>
      </c>
    </row>
    <row r="2">
      <c r="A2" s="2" t="inlineStr">
        <is>
          <t>Tài liệu tổng hợp rule hiện tại và kết quả kiểm thử trên simulator. Số liệu tổng hợp bên dưới tự tính từ các sheet.</t>
        </is>
      </c>
    </row>
    <row r="4">
      <c r="A4" s="3" t="inlineStr">
        <is>
          <t>Chỉ số</t>
        </is>
      </c>
      <c r="B4" s="3" t="inlineStr">
        <is>
          <t>Giá trị</t>
        </is>
      </c>
      <c r="C4" s="3" t="inlineStr">
        <is>
          <t>Nguồn</t>
        </is>
      </c>
    </row>
    <row r="5">
      <c r="A5" s="4" t="inlineStr">
        <is>
          <t>Số rule</t>
        </is>
      </c>
      <c r="B5" s="5">
        <f>COUNTA(Rule!B5:B28)</f>
        <v/>
      </c>
      <c r="C5" s="4" t="inlineStr">
        <is>
          <t>Sheet Rule</t>
        </is>
      </c>
    </row>
    <row r="6">
      <c r="A6" s="4" t="inlineStr">
        <is>
          <t>Rule có thay đổi ở v3.2</t>
        </is>
      </c>
      <c r="B6" s="5">
        <f>COUNTA(Rule!L5:L28)</f>
        <v/>
      </c>
      <c r="C6" s="4" t="inlineStr">
        <is>
          <t>Dòng tô xanh lá ở sheet Rule</t>
        </is>
      </c>
    </row>
    <row r="7">
      <c r="A7" s="4" t="inlineStr">
        <is>
          <t>Số test case golden/edge/đối chứng</t>
        </is>
      </c>
      <c r="B7" s="5">
        <f>'Test case'!A43</f>
        <v/>
      </c>
      <c r="C7" s="4" t="inlineStr">
        <is>
          <t>Sheet Test case</t>
        </is>
      </c>
    </row>
    <row r="8">
      <c r="A8" s="4" t="inlineStr">
        <is>
          <t xml:space="preserve">  — PASS</t>
        </is>
      </c>
      <c r="B8" s="5">
        <f>COUNTIF('Test case'!I5:I41,"PASS")</f>
        <v/>
      </c>
      <c r="C8" s="4" t="inlineStr">
        <is>
          <t>GOLDEN/INVARIANT đạt</t>
        </is>
      </c>
    </row>
    <row r="9">
      <c r="A9" s="4" t="inlineStr">
        <is>
          <t xml:space="preserve">  — ĐO ĐƯỢC (MEASURE)</t>
        </is>
      </c>
      <c r="B9" s="5">
        <f>COUNTIF('Test case'!I5:I41,"ĐO ĐƯỢC")</f>
        <v/>
      </c>
      <c r="C9" s="4" t="inlineStr">
        <is>
          <t>Chỉ đo số liệu</t>
        </is>
      </c>
    </row>
    <row r="10">
      <c r="A10" s="4" t="inlineStr">
        <is>
          <t xml:space="preserve">  — PHÁT HIỆN vấn đề spec</t>
        </is>
      </c>
      <c r="B10" s="5">
        <f>COUNTIF('Test case'!I5:I41,"PHÁT HIỆN")</f>
        <v/>
      </c>
      <c r="C10" s="4" t="inlineStr">
        <is>
          <t>Đo được vấn đề của spec</t>
        </is>
      </c>
    </row>
    <row r="11">
      <c r="A11" s="4" t="inlineStr">
        <is>
          <t>Số unit test</t>
        </is>
      </c>
      <c r="B11" s="5">
        <f>COUNTA('Unit test'!C5:C346)</f>
        <v/>
      </c>
      <c r="C11" s="4" t="inlineStr">
        <is>
          <t>Sheet Unit test</t>
        </is>
      </c>
    </row>
    <row r="12">
      <c r="A12" s="4" t="inlineStr">
        <is>
          <t xml:space="preserve">  — PASS</t>
        </is>
      </c>
      <c r="B12" s="5">
        <f>COUNTIF('Unit test'!D5:D346,"PASS")</f>
        <v/>
      </c>
      <c r="C12" s="4" t="inlineStr"/>
    </row>
    <row r="13">
      <c r="A13" s="4" t="inlineStr">
        <is>
          <t>Tỷ lệ unit test PASS</t>
        </is>
      </c>
      <c r="B13" s="6">
        <f>IFERROR(B12/B11,0)</f>
        <v/>
      </c>
      <c r="C13" s="4" t="inlineStr"/>
    </row>
    <row r="14">
      <c r="A14" s="4" t="inlineStr">
        <is>
          <t>Đề xuất v3.2 được đưa vào</t>
        </is>
      </c>
      <c r="B14" s="5">
        <f>COUNTIF('Thử nghiệm v3.2'!F5:F11,"Đưa vào*")</f>
        <v/>
      </c>
      <c r="C14" s="4" t="inlineStr">
        <is>
          <t>Sheet Thử nghiệm v3.2</t>
        </is>
      </c>
    </row>
    <row r="17">
      <c r="A17" s="7" t="inlineStr">
        <is>
          <t>Các sheet</t>
        </is>
      </c>
    </row>
    <row r="18">
      <c r="A18" s="7" t="inlineStr">
        <is>
          <t>Rule</t>
        </is>
      </c>
      <c r="B18" s="8" t="inlineStr">
        <is>
          <t>24 rule R01–R21B: điều kiện, hành động, lịch, cửa sổ, cooldown, ưu tiên, thay đổi v3.2</t>
        </is>
      </c>
    </row>
    <row r="19">
      <c r="A19" s="7" t="inlineStr">
        <is>
          <t>Tham số G1</t>
        </is>
      </c>
      <c r="B19" s="8" t="inlineStr">
        <is>
          <t>Máy tính ngưỡng theo sản phẩm: nhập giá, BE, CVR → tự ra T_win, T_ok, T_bad, CPA, Spend_zero, N2, N3, Bid_max</t>
        </is>
      </c>
    </row>
    <row r="20">
      <c r="A20" s="7" t="inlineStr">
        <is>
          <t>Thang budget</t>
        </is>
      </c>
      <c r="B20" s="8" t="inlineStr">
        <is>
          <t>Các bậc budget $5 → $25</t>
        </is>
      </c>
    </row>
    <row r="21">
      <c r="A21" s="7" t="inlineStr">
        <is>
          <t>Nguyên tắc G1-G8</t>
        </is>
      </c>
      <c r="B21" s="8" t="inlineStr">
        <is>
          <t>Nguyên tắc chung áp cho mọi rule</t>
        </is>
      </c>
    </row>
    <row r="22">
      <c r="A22" s="7" t="inlineStr">
        <is>
          <t>Test case</t>
        </is>
      </c>
      <c r="B22" s="8" t="inlineStr">
        <is>
          <t>Golden test theo spec, edge case A1–E6, đối chứng đo lường, kết quả thực tế</t>
        </is>
      </c>
    </row>
    <row r="23">
      <c r="A23" s="7" t="inlineStr">
        <is>
          <t>Unit test</t>
        </is>
      </c>
      <c r="B23" s="8" t="inlineStr">
        <is>
          <t>Toàn bộ unit test tự động của simulator</t>
        </is>
      </c>
    </row>
    <row r="24">
      <c r="A24" s="7" t="inlineStr">
        <is>
          <t>Thử nghiệm v3.2</t>
        </is>
      </c>
      <c r="B24" s="8" t="inlineStr">
        <is>
          <t>Kết quả 7 đề xuất thay đổi rule và quyết định</t>
        </is>
      </c>
    </row>
    <row r="26">
      <c r="A26" s="7" t="inlineStr">
        <is>
          <t>Ghi chú màu</t>
        </is>
      </c>
    </row>
    <row r="27">
      <c r="A27" s="9" t="inlineStr">
        <is>
          <t>Chữ xanh dương, nền vàng</t>
        </is>
      </c>
      <c r="B27" s="8" t="inlineStr">
        <is>
          <t>Ô nhập liệu (sheet Tham số G1)</t>
        </is>
      </c>
    </row>
    <row r="28">
      <c r="A28" s="10" t="inlineStr">
        <is>
          <t>Nền xanh lá nhạt</t>
        </is>
      </c>
      <c r="B28" s="8" t="inlineStr">
        <is>
          <t>Rule có thay đổi ở v3.2</t>
        </is>
      </c>
    </row>
    <row r="29">
      <c r="A29" s="11" t="inlineStr">
        <is>
          <t>PASS</t>
        </is>
      </c>
      <c r="B29" s="8" t="inlineStr">
        <is>
          <t>Test đạt</t>
        </is>
      </c>
    </row>
    <row r="30">
      <c r="A30" s="12" t="inlineStr">
        <is>
          <t>ĐO ĐƯỢC</t>
        </is>
      </c>
      <c r="B30" s="8" t="inlineStr">
        <is>
          <t>Test chỉ đo số liệu</t>
        </is>
      </c>
    </row>
    <row r="31">
      <c r="A31" s="13" t="inlineStr">
        <is>
          <t>PHÁT HIỆN / THUA</t>
        </is>
      </c>
      <c r="B31" s="8" t="inlineStr">
        <is>
          <t>Vấn đề của spec hoặc đề xuất không đạt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55" customWidth="1" min="4" max="4"/>
    <col width="50" customWidth="1" min="5" max="5"/>
    <col width="16" customWidth="1" min="6" max="6"/>
    <col width="22" customWidth="1" min="7" max="7"/>
    <col width="18" customWidth="1" min="8" max="8"/>
    <col width="20" customWidth="1" min="9" max="9"/>
    <col width="14" customWidth="1" min="10" max="10"/>
    <col width="10" customWidth="1" min="11" max="11"/>
    <col width="40" customWidth="1" min="12" max="12"/>
  </cols>
  <sheetData>
    <row r="1">
      <c r="A1" s="1" t="inlineStr">
        <is>
          <t>Danh sách rule — Amazon PPC Automation v3.2</t>
        </is>
      </c>
    </row>
    <row r="2">
      <c r="A2" s="2" t="inlineStr">
        <is>
          <t>Dòng tô xanh lá là rule có thay đổi ở v3.2 so với v3.1. Nguồn: docs/simulator/spec-v3.2.md</t>
        </is>
      </c>
    </row>
    <row r="4">
      <c r="A4" s="14" t="inlineStr">
        <is>
          <t>Nhóm</t>
        </is>
      </c>
      <c r="B4" s="14" t="inlineStr">
        <is>
          <t>Rule</t>
        </is>
      </c>
      <c r="C4" s="14" t="inlineStr">
        <is>
          <t>Tên</t>
        </is>
      </c>
      <c r="D4" s="14" t="inlineStr">
        <is>
          <t>Điều kiện kích hoạt</t>
        </is>
      </c>
      <c r="E4" s="14" t="inlineStr">
        <is>
          <t>Hành động</t>
        </is>
      </c>
      <c r="F4" s="14" t="inlineStr">
        <is>
          <t>Lịch chạy</t>
        </is>
      </c>
      <c r="G4" s="14" t="inlineStr">
        <is>
          <t>Cửa sổ dữ liệu</t>
        </is>
      </c>
      <c r="H4" s="14" t="inlineStr">
        <is>
          <t>Cooldown sau khi chạy</t>
        </is>
      </c>
      <c r="I4" s="14" t="inlineStr">
        <is>
          <t>Bị chặn khi tag</t>
        </is>
      </c>
      <c r="J4" s="14" t="inlineStr">
        <is>
          <t>Thứ tự ưu tiên trong nhóm (1 = cao nhất)</t>
        </is>
      </c>
      <c r="K4" s="14" t="inlineStr">
        <is>
          <t>Áp giới hạn bid G6</t>
        </is>
      </c>
      <c r="L4" s="14" t="inlineStr">
        <is>
          <t>Thay đổi ở v3.2</t>
        </is>
      </c>
    </row>
    <row r="5">
      <c r="A5" s="15" t="inlineStr">
        <is>
          <t>Campaign</t>
        </is>
      </c>
      <c r="B5" s="16" t="inlineStr">
        <is>
          <t>R01</t>
        </is>
      </c>
      <c r="C5" s="15" t="inlineStr">
        <is>
          <t>Khởi tạo / bật lại campaign</t>
        </is>
      </c>
      <c r="D5" s="15" t="inlineStr">
        <is>
          <t>Campaign mới, hoặc người dùng bật lại campaign đã bị pause (PAUSED_AUTO chỉ bật lại khi người dùng xác nhận)</t>
        </is>
      </c>
      <c r="E5" s="15" t="inlineStr">
        <is>
          <t>Budget $5, tag NORMAL, xóa thông tin tag cũ, reset cửa sổ đo, bắt đầu 3 ngày ân hạn</t>
        </is>
      </c>
      <c r="F5" s="15" t="inlineStr">
        <is>
          <t>Hằng ngày</t>
        </is>
      </c>
      <c r="G5" s="15" t="inlineStr">
        <is>
          <t>—</t>
        </is>
      </c>
      <c r="H5" s="15" t="inlineStr">
        <is>
          <t>—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Không</t>
        </is>
      </c>
      <c r="L5" s="15" t="n"/>
    </row>
    <row r="6">
      <c r="A6" s="15" t="inlineStr">
        <is>
          <t>Campaign</t>
        </is>
      </c>
      <c r="B6" s="16" t="inlineStr">
        <is>
          <t>R02</t>
        </is>
      </c>
      <c r="C6" s="15" t="inlineStr">
        <is>
          <t>Tăng budget $5 → $8</t>
        </is>
      </c>
      <c r="D6" s="15" t="inlineStr">
        <is>
          <t>Tag NORMAL, budget $5, W3 có ≥1 đơn, ACoS &lt; T_ok</t>
        </is>
      </c>
      <c r="E6" s="15" t="inlineStr">
        <is>
          <t>Budget $8, ghi ACoS nền</t>
        </is>
      </c>
      <c r="F6" s="15" t="inlineStr">
        <is>
          <t>Hằng ngày</t>
        </is>
      </c>
      <c r="G6" s="15" t="inlineStr">
        <is>
          <t>W3 (cần đủ 3 ngày chín sau lần đổi)</t>
        </is>
      </c>
      <c r="H6" s="15" t="inlineStr">
        <is>
          <t>Budget 2 ngày</t>
        </is>
      </c>
      <c r="I6" s="15" t="inlineStr">
        <is>
          <t>MANAGE, ALERT, PAUSED_AUTO</t>
        </is>
      </c>
      <c r="J6" s="15" t="n">
        <v>10</v>
      </c>
      <c r="K6" s="15" t="inlineStr">
        <is>
          <t>Không</t>
        </is>
      </c>
      <c r="L6" s="15" t="n"/>
    </row>
    <row r="7">
      <c r="A7" s="15" t="inlineStr">
        <is>
          <t>Campaign</t>
        </is>
      </c>
      <c r="B7" s="16" t="inlineStr">
        <is>
          <t>R03</t>
        </is>
      </c>
      <c r="C7" s="15" t="inlineStr">
        <is>
          <t>Tăng budget $8 → $10</t>
        </is>
      </c>
      <c r="D7" s="15" t="inlineStr">
        <is>
          <t>Tag NORMAL, budget $8, W3 có ≥2 đơn, ACoS &lt; T_ok</t>
        </is>
      </c>
      <c r="E7" s="15" t="inlineStr">
        <is>
          <t>Budget $10, ghi ACoS nền</t>
        </is>
      </c>
      <c r="F7" s="15" t="inlineStr">
        <is>
          <t>Hằng ngày</t>
        </is>
      </c>
      <c r="G7" s="15" t="inlineStr">
        <is>
          <t>W3</t>
        </is>
      </c>
      <c r="H7" s="15" t="inlineStr">
        <is>
          <t>Budget 2 ngày</t>
        </is>
      </c>
      <c r="I7" s="15" t="inlineStr">
        <is>
          <t>MANAGE, ALERT, PAUSED_AUTO</t>
        </is>
      </c>
      <c r="J7" s="15" t="n">
        <v>9</v>
      </c>
      <c r="K7" s="15" t="inlineStr">
        <is>
          <t>Không</t>
        </is>
      </c>
      <c r="L7" s="15" t="n"/>
    </row>
    <row r="8">
      <c r="A8" s="15" t="inlineStr">
        <is>
          <t>Campaign</t>
        </is>
      </c>
      <c r="B8" s="16" t="inlineStr">
        <is>
          <t>R04</t>
        </is>
      </c>
      <c r="C8" s="15" t="inlineStr">
        <is>
          <t>Tăng budget $10 → $12</t>
        </is>
      </c>
      <c r="D8" s="15" t="inlineStr">
        <is>
          <t>Tag NORMAL, budget $10, cả 3 ngày đều có ≥1 đơn, ACoS &lt; T_ok</t>
        </is>
      </c>
      <c r="E8" s="15" t="inlineStr">
        <is>
          <t>Budget $12, ghi ACoS nền</t>
        </is>
      </c>
      <c r="F8" s="15" t="inlineStr">
        <is>
          <t>Hằng ngày</t>
        </is>
      </c>
      <c r="G8" s="15" t="inlineStr">
        <is>
          <t>W3</t>
        </is>
      </c>
      <c r="H8" s="15" t="inlineStr">
        <is>
          <t>Budget 2 ngày</t>
        </is>
      </c>
      <c r="I8" s="15" t="inlineStr">
        <is>
          <t>MANAGE, ALERT, PAUSED_AUTO</t>
        </is>
      </c>
      <c r="J8" s="15" t="n">
        <v>8</v>
      </c>
      <c r="K8" s="15" t="inlineStr">
        <is>
          <t>Không</t>
        </is>
      </c>
      <c r="L8" s="15" t="n"/>
    </row>
    <row r="9">
      <c r="A9" s="17" t="inlineStr">
        <is>
          <t>Campaign</t>
        </is>
      </c>
      <c r="B9" s="18" t="inlineStr">
        <is>
          <t>R04B</t>
        </is>
      </c>
      <c r="C9" s="17" t="inlineStr">
        <is>
          <t>Tăng budget vượt $12 (×1.2)</t>
        </is>
      </c>
      <c r="D9" s="17" t="inlineStr">
        <is>
          <t>Tag NORMAL, budget ≥ $12, tiêu ≥90% budget ở ≥5/7 ngày, W7 có ≥5 đơn, ACoS &lt; T_win</t>
        </is>
      </c>
      <c r="E9" s="17" t="inlineStr">
        <is>
          <t>Budget ×1.2 theo thang, tối đa $25 (đã $25 thì không làm gì)</t>
        </is>
      </c>
      <c r="F9" s="17" t="inlineStr">
        <is>
          <t>Hằng ngày</t>
        </is>
      </c>
      <c r="G9" s="17" t="inlineStr">
        <is>
          <t>W7 (cần đủ 7 ngày chín sau lần tăng trước)</t>
        </is>
      </c>
      <c r="H9" s="17" t="inlineStr">
        <is>
          <t>Budget 3 ngày</t>
        </is>
      </c>
      <c r="I9" s="17" t="inlineStr">
        <is>
          <t>MANAGE, ALERT, PAUSED_AUTO</t>
        </is>
      </c>
      <c r="J9" s="17" t="n">
        <v>7</v>
      </c>
      <c r="K9" s="17" t="inlineStr">
        <is>
          <t>Không</t>
        </is>
      </c>
      <c r="L9" s="17" t="inlineStr">
        <is>
          <t>P7: ghi rõ thực tế khoảng 8 ngày lịch giữa hai lần tăng (chỉ sửa câu chữ)</t>
        </is>
      </c>
    </row>
    <row r="10">
      <c r="A10" s="15" t="inlineStr">
        <is>
          <t>Campaign</t>
        </is>
      </c>
      <c r="B10" s="16" t="inlineStr">
        <is>
          <t>R05</t>
        </is>
      </c>
      <c r="C10" s="15" t="inlineStr">
        <is>
          <t>Giảm budget</t>
        </is>
      </c>
      <c r="D10" s="15" t="inlineStr">
        <is>
          <t>Budget &gt; $5 và một trong hai: (A) W3 có ≥1 đơn và ACoS ≥ T_bad; (B) W3 có 0 đơn và chi tiêu ≥ min(CPA_target, 0.6×Spend_zero)</t>
        </is>
      </c>
      <c r="E10" s="15" t="inlineStr">
        <is>
          <t>(A) hạ 1 bậc; (B) về thẳng $5</t>
        </is>
      </c>
      <c r="F10" s="15" t="inlineStr">
        <is>
          <t>Hằng ngày</t>
        </is>
      </c>
      <c r="G10" s="15" t="inlineStr">
        <is>
          <t>W3</t>
        </is>
      </c>
      <c r="H10" s="15" t="inlineStr">
        <is>
          <t>Budget 2 ngày</t>
        </is>
      </c>
      <c r="I10" s="15" t="inlineStr">
        <is>
          <t>PAUSED_AUTO</t>
        </is>
      </c>
      <c r="J10" s="15" t="n">
        <v>4</v>
      </c>
      <c r="K10" s="15" t="inlineStr">
        <is>
          <t>Không</t>
        </is>
      </c>
      <c r="L10" s="15" t="n"/>
    </row>
    <row r="11">
      <c r="A11" s="17" t="inlineStr">
        <is>
          <t>Campaign</t>
        </is>
      </c>
      <c r="B11" s="18" t="inlineStr">
        <is>
          <t>R06</t>
        </is>
      </c>
      <c r="C11" s="17" t="inlineStr">
        <is>
          <t>Dừng khẩn cấp (Safety Stop)</t>
        </is>
      </c>
      <c r="D11" s="17" t="inlineStr">
        <is>
          <t>Từ lần reset gần nhất (tối đa 14 ngày) có 0 đơn, và: chi tiêu ≥ Spend_zero và click ≥ N2; hoặc chi tiêu ≥ min(2.5×Spend_zero, $63)</t>
        </is>
      </c>
      <c r="E11" s="17" t="inlineStr">
        <is>
          <t>PAUSE vĩnh viễn, budget $5, tag PAUSED_AUTO, gửi thông báo</t>
        </is>
      </c>
      <c r="F11" s="17" t="inlineStr">
        <is>
          <t>Hằng ngày</t>
        </is>
      </c>
      <c r="G11" s="17" t="inlineStr">
        <is>
          <t>W_post ≤ 14 ngày</t>
        </is>
      </c>
      <c r="H11" s="17" t="inlineStr">
        <is>
          <t>—</t>
        </is>
      </c>
      <c r="I11" s="17" t="inlineStr">
        <is>
          <t>PAUSED_AUTO</t>
        </is>
      </c>
      <c r="J11" s="17" t="n">
        <v>1</v>
      </c>
      <c r="K11" s="17" t="inlineStr">
        <is>
          <t>Không</t>
        </is>
      </c>
      <c r="L11" s="17" t="inlineStr">
        <is>
          <t>P4: không chạy trên campaign nguồn trong 7 ngày sau khi R15 thêm negative (ân hạn harvest)</t>
        </is>
      </c>
    </row>
    <row r="12">
      <c r="A12" s="15" t="inlineStr">
        <is>
          <t>Campaign</t>
        </is>
      </c>
      <c r="B12" s="16" t="inlineStr">
        <is>
          <t>R06B</t>
        </is>
      </c>
      <c r="C12" s="15" t="inlineStr">
        <is>
          <t>Dừng campaign lỗ kéo dài</t>
        </is>
      </c>
      <c r="D12" s="15" t="inlineStr">
        <is>
          <t>W14 có ≥1 đơn, chi tiêu ≥ Spend_zero, ACoS &gt; 1.5×BE</t>
        </is>
      </c>
      <c r="E12" s="15" t="inlineStr">
        <is>
          <t>Bước 1: lưu bậc budget, gắn MANAGE (giữ ALERT nếu có), budget $5, bid −20%. Bước 2 (sau 7 ngày): nếu ACoS W7 vẫn &gt; 1.5×BE thì PAUSE; nếu không thì giữ tag cho R09 xử lý</t>
        </is>
      </c>
      <c r="F12" s="15" t="inlineStr">
        <is>
          <t>Hằng ngày</t>
        </is>
      </c>
      <c r="G12" s="15" t="inlineStr">
        <is>
          <t>W14 lịch; bước 2 dùng W7 sau bước 1</t>
        </is>
      </c>
      <c r="H12" s="15" t="inlineStr">
        <is>
          <t>Budget 2 ngày, bid 3 ngày</t>
        </is>
      </c>
      <c r="I12" s="15" t="inlineStr">
        <is>
          <t>PAUSED_AUTO</t>
        </is>
      </c>
      <c r="J12" s="15" t="n">
        <v>2</v>
      </c>
      <c r="K12" s="15" t="inlineStr">
        <is>
          <t>Có</t>
        </is>
      </c>
      <c r="L12" s="15" t="n"/>
    </row>
    <row r="13">
      <c r="A13" s="15" t="inlineStr">
        <is>
          <t>Campaign</t>
        </is>
      </c>
      <c r="B13" s="16" t="inlineStr">
        <is>
          <t>R07</t>
        </is>
      </c>
      <c r="C13" s="15" t="inlineStr">
        <is>
          <t>Gắn tag MANAGE (cảnh báo nhẹ)</t>
        </is>
      </c>
      <c r="D13" s="15" t="inlineStr">
        <is>
          <t>Tag NORMAL, W7 có ≥1 đơn và ≥10 click, ACoS_W7 &gt; max(1.1×ACoS nền, T_win); ACoS nền = min(baseline, T_ok)</t>
        </is>
      </c>
      <c r="E13" s="15" t="inlineStr">
        <is>
          <t>Gắn MANAGE, lưu bậc budget, budget = min(hiện tại, $8), bid −10% một lần (tổng giảm do tag ≤ 30%)</t>
        </is>
      </c>
      <c r="F13" s="15" t="inlineStr">
        <is>
          <t>Mỗi 3 ngày</t>
        </is>
      </c>
      <c r="G13" s="15" t="inlineStr">
        <is>
          <t>W7</t>
        </is>
      </c>
      <c r="H13" s="15" t="inlineStr">
        <is>
          <t>Budget 3 ngày, bid 3 ngày</t>
        </is>
      </c>
      <c r="I13" s="15" t="inlineStr">
        <is>
          <t>PAUSED_AUTO</t>
        </is>
      </c>
      <c r="J13" s="15" t="n">
        <v>5</v>
      </c>
      <c r="K13" s="15" t="inlineStr">
        <is>
          <t>Có</t>
        </is>
      </c>
      <c r="L13" s="15" t="n"/>
    </row>
    <row r="14">
      <c r="A14" s="17" t="inlineStr">
        <is>
          <t>Campaign</t>
        </is>
      </c>
      <c r="B14" s="18" t="inlineStr">
        <is>
          <t>R08</t>
        </is>
      </c>
      <c r="C14" s="17" t="inlineStr">
        <is>
          <t>Gắn tag ALERT (cảnh báo khẩn)</t>
        </is>
      </c>
      <c r="D14" s="17" t="inlineStr">
        <is>
          <t>W3 có 0 đơn, chi tiêu ≥ 0.6×Spend_zero, 30 ngày qua từng có đơn, tag chưa phải ALERT</t>
        </is>
      </c>
      <c r="E14" s="17" t="inlineStr">
        <is>
          <t>Gắn ALERT (thay MANAGE), budget $5, lưu bậc budget nếu đang NORMAL, gửi thông báo khẩn. Không đổi bid. R06 thắng nếu cùng khớp</t>
        </is>
      </c>
      <c r="F14" s="17" t="inlineStr">
        <is>
          <t>Hằng ngày (v3.1: mỗi 3 ngày)</t>
        </is>
      </c>
      <c r="G14" s="17" t="inlineStr">
        <is>
          <t>W3</t>
        </is>
      </c>
      <c r="H14" s="17" t="inlineStr">
        <is>
          <t>Budget 3 ngày</t>
        </is>
      </c>
      <c r="I14" s="17" t="inlineStr">
        <is>
          <t>PAUSED_AUTO</t>
        </is>
      </c>
      <c r="J14" s="17" t="n">
        <v>3</v>
      </c>
      <c r="K14" s="17" t="inlineStr">
        <is>
          <t>Không</t>
        </is>
      </c>
      <c r="L14" s="17" t="inlineStr">
        <is>
          <t>P3: chạy hằng ngày; lưu ý kiểm tra độ trễ attribution trước khi bật</t>
        </is>
      </c>
    </row>
    <row r="15">
      <c r="A15" s="15" t="inlineStr">
        <is>
          <t>Campaign</t>
        </is>
      </c>
      <c r="B15" s="16" t="inlineStr">
        <is>
          <t>R09</t>
        </is>
      </c>
      <c r="C15" s="15" t="inlineStr">
        <is>
          <t>Gỡ tag (khôi phục NORMAL)</t>
        </is>
      </c>
      <c r="D15" s="15" t="inlineStr">
        <is>
          <t>MANAGE: ACoS W7 ≤ max(ACoS nền, 0.9×T_win), ≥1 đơn, đạt 2 lần kiểm tra liên tiếp, tag tồn tại ≥6 ngày. ALERT: W7 có ≥2 đơn và ACoS ≤ T_ok</t>
        </is>
      </c>
      <c r="E15" s="15" t="inlineStr">
        <is>
          <t>Gỡ tag, budget về bậc đã lưu (không vượt), bid +10% mỗi 3 ngày đến khi hết phần giảm do tag, ghi ACoS nền mới</t>
        </is>
      </c>
      <c r="F15" s="15" t="inlineStr">
        <is>
          <t>Mỗi 3 ngày</t>
        </is>
      </c>
      <c r="G15" s="15" t="inlineStr">
        <is>
          <t>W7</t>
        </is>
      </c>
      <c r="H15" s="15" t="inlineStr">
        <is>
          <t>Budget 3 ngày, bid 3 ngày</t>
        </is>
      </c>
      <c r="I15" s="15" t="inlineStr">
        <is>
          <t>PAUSED_AUTO</t>
        </is>
      </c>
      <c r="J15" s="15" t="n">
        <v>6</v>
      </c>
      <c r="K15" s="15" t="inlineStr">
        <is>
          <t>Có</t>
        </is>
      </c>
      <c r="L15" s="15" t="n"/>
    </row>
    <row r="16">
      <c r="A16" s="15" t="inlineStr">
        <is>
          <t>Target</t>
        </is>
      </c>
      <c r="B16" s="16" t="inlineStr">
        <is>
          <t>R13</t>
        </is>
      </c>
      <c r="C16" s="15" t="inlineStr">
        <is>
          <t>PAUSE từ khóa "chảy máu"</t>
        </is>
      </c>
      <c r="D16" s="15" t="inlineStr">
        <is>
          <t>W14 có ≥30 click, 0 đơn, chi tiêu ≥ 2×CPA_target, và: đã bị R12 giảm và từ đó thêm ≥10 click vẫn 0 đơn; hoặc bid đang ở sàn max($0.20, 0.5×anchor)</t>
        </is>
      </c>
      <c r="E16" s="15" t="inlineStr">
        <is>
          <t>PAUSE từ khóa/target vĩnh viễn</t>
        </is>
      </c>
      <c r="F16" s="15" t="inlineStr">
        <is>
          <t>Hằng ngày</t>
        </is>
      </c>
      <c r="G16" s="15" t="inlineStr">
        <is>
          <t>W14 lịch</t>
        </is>
      </c>
      <c r="H16" s="15" t="inlineStr">
        <is>
          <t>—</t>
        </is>
      </c>
      <c r="I16" s="15" t="inlineStr">
        <is>
          <t>—</t>
        </is>
      </c>
      <c r="J16" s="15" t="n">
        <v>1</v>
      </c>
      <c r="K16" s="15" t="inlineStr">
        <is>
          <t>Không</t>
        </is>
      </c>
      <c r="L16" s="15" t="n"/>
    </row>
    <row r="17">
      <c r="A17" s="15" t="inlineStr">
        <is>
          <t>Target</t>
        </is>
      </c>
      <c r="B17" s="16" t="inlineStr">
        <is>
          <t>R12</t>
        </is>
      </c>
      <c r="C17" s="15" t="inlineStr">
        <is>
          <t>Giảm bid từ khóa không hiệu quả</t>
        </is>
      </c>
      <c r="D17" s="15" t="inlineStr">
        <is>
          <t>W_post (tối đa 14 ngày) có ≥20 click và 0 đơn; bid chưa ở sàn</t>
        </is>
      </c>
      <c r="E17" s="15" t="inlineStr">
        <is>
          <t>Bid ×0.8 (không dưới sàn), cờ lãng phí 14 ngày (chặn R14), tăng bộ đếm R12</t>
        </is>
      </c>
      <c r="F17" s="15" t="inlineStr">
        <is>
          <t>Hằng ngày</t>
        </is>
      </c>
      <c r="G17" s="15" t="inlineStr">
        <is>
          <t>W_post ≤ 14 ngày</t>
        </is>
      </c>
      <c r="H17" s="15" t="inlineStr">
        <is>
          <t>Bid 5 ngày</t>
        </is>
      </c>
      <c r="I17" s="15" t="inlineStr">
        <is>
          <t>—</t>
        </is>
      </c>
      <c r="J17" s="15" t="n">
        <v>2</v>
      </c>
      <c r="K17" s="15" t="inlineStr">
        <is>
          <t>Có</t>
        </is>
      </c>
      <c r="L17" s="15" t="n"/>
    </row>
    <row r="18">
      <c r="A18" s="15" t="inlineStr">
        <is>
          <t>Target</t>
        </is>
      </c>
      <c r="B18" s="16" t="inlineStr">
        <is>
          <t>R11</t>
        </is>
      </c>
      <c r="C18" s="15" t="inlineStr">
        <is>
          <t>Giảm bid từ khóa ACoS cao</t>
        </is>
      </c>
      <c r="D18" s="15" t="inlineStr">
        <is>
          <t>W_post có ≥15 click, ≥1 đơn, ACoS &gt; T_ok</t>
        </is>
      </c>
      <c r="E18" s="15" t="inlineStr">
        <is>
          <t>Bid × max(T_ok/ACoS, 0.8), không dưới sàn</t>
        </is>
      </c>
      <c r="F18" s="15" t="inlineStr">
        <is>
          <t>Hằng ngày</t>
        </is>
      </c>
      <c r="G18" s="15" t="inlineStr">
        <is>
          <t>W_post</t>
        </is>
      </c>
      <c r="H18" s="15" t="inlineStr">
        <is>
          <t>Bid 3 ngày</t>
        </is>
      </c>
      <c r="I18" s="15" t="inlineStr">
        <is>
          <t>—</t>
        </is>
      </c>
      <c r="J18" s="15" t="n">
        <v>3</v>
      </c>
      <c r="K18" s="15" t="inlineStr">
        <is>
          <t>Có</t>
        </is>
      </c>
      <c r="L18" s="15" t="n"/>
    </row>
    <row r="19">
      <c r="A19" s="15" t="inlineStr">
        <is>
          <t>Target</t>
        </is>
      </c>
      <c r="B19" s="16" t="inlineStr">
        <is>
          <t>R10</t>
        </is>
      </c>
      <c r="C19" s="15" t="inlineStr">
        <is>
          <t>Tăng bid từ khóa thắng</t>
        </is>
      </c>
      <c r="D19" s="15" t="inlineStr">
        <is>
          <t>Campaign NORMAL, W14 có ≥3 đơn và ACoS ≤ T_win, W_post (≥3 ngày, ≥15 click) ACoS ≤ T_win</t>
        </is>
      </c>
      <c r="E19" s="15" t="inlineStr">
        <is>
          <t>Bid ×1.10, không vượt min(Bid_max, 2×anchor)</t>
        </is>
      </c>
      <c r="F19" s="15" t="inlineStr">
        <is>
          <t>Hằng ngày</t>
        </is>
      </c>
      <c r="G19" s="15" t="inlineStr">
        <is>
          <t>W14 lịch + W_post</t>
        </is>
      </c>
      <c r="H19" s="15" t="inlineStr">
        <is>
          <t>Bid 3 ngày</t>
        </is>
      </c>
      <c r="I19" s="15" t="inlineStr">
        <is>
          <t>MANAGE, ALERT</t>
        </is>
      </c>
      <c r="J19" s="15" t="n">
        <v>4</v>
      </c>
      <c r="K19" s="15" t="inlineStr">
        <is>
          <t>Có</t>
        </is>
      </c>
      <c r="L19" s="15" t="n"/>
    </row>
    <row r="20">
      <c r="A20" s="15" t="inlineStr">
        <is>
          <t>Target</t>
        </is>
      </c>
      <c r="B20" s="16" t="inlineStr">
        <is>
          <t>R14</t>
        </is>
      </c>
      <c r="C20" s="15" t="inlineStr">
        <is>
          <t>Tăng bid từ khóa ít hiển thị</t>
        </is>
      </c>
      <c r="D20" s="15" t="inlineStr">
        <is>
          <t>W7 &lt; 100 impression, bid &lt; min($0.75, Bid_max), NORMAL, không có cờ lãng phí, không thuộc (≥10 click và 0 đơn)</t>
        </is>
      </c>
      <c r="E20" s="15" t="inlineStr">
        <is>
          <t>Bid ×1.15; tối đa 3 lần, cách nhau ≥7 ngày; sau đó cờ ít hiển thị 30 ngày</t>
        </is>
      </c>
      <c r="F20" s="15" t="inlineStr">
        <is>
          <t>Hằng ngày</t>
        </is>
      </c>
      <c r="G20" s="15" t="inlineStr">
        <is>
          <t>W7 lịch</t>
        </is>
      </c>
      <c r="H20" s="15" t="inlineStr">
        <is>
          <t>Bid 7 ngày</t>
        </is>
      </c>
      <c r="I20" s="15" t="inlineStr">
        <is>
          <t>MANAGE, ALERT</t>
        </is>
      </c>
      <c r="J20" s="15" t="n">
        <v>5</v>
      </c>
      <c r="K20" s="15" t="inlineStr">
        <is>
          <t>Có</t>
        </is>
      </c>
      <c r="L20" s="15" t="n"/>
    </row>
    <row r="21">
      <c r="A21" s="17" t="inlineStr">
        <is>
          <t>Search term</t>
        </is>
      </c>
      <c r="B21" s="18" t="inlineStr">
        <is>
          <t>R15</t>
        </is>
      </c>
      <c r="C21" s="17" t="inlineStr">
        <is>
          <t>Thu hoạch từ khóa tốt (harvest)</t>
        </is>
      </c>
      <c r="D21" s="17" t="inlineStr">
        <is>
          <t>Search term từ Auto/Broad/Phrase, W14 có ≥2 đơn, ACoS ≤ T_ok, Exact chưa tồn tại</t>
        </is>
      </c>
      <c r="E21" s="17" t="inlineStr">
        <is>
          <t>(i) Tạo Exact trong campaign Manual, bid = CPC TB 14 ngày kẹp [$0.20, Bid_max]; (ii) chỉ khi (i) thành công và đã kiểm tra lại mới thêm Negative Exact vào nguồn</t>
        </is>
      </c>
      <c r="F21" s="17" t="inlineStr">
        <is>
          <t>Chủ Nhật</t>
        </is>
      </c>
      <c r="G21" s="17" t="inlineStr">
        <is>
          <t>W14 lịch</t>
        </is>
      </c>
      <c r="H21" s="17" t="inlineStr">
        <is>
          <t>—</t>
        </is>
      </c>
      <c r="I21" s="17" t="inlineStr">
        <is>
          <t>—</t>
        </is>
      </c>
      <c r="J21" s="17" t="n">
        <v>1</v>
      </c>
      <c r="K21" s="17" t="inlineStr">
        <is>
          <t>Có</t>
        </is>
      </c>
      <c r="L21" s="17" t="inlineStr">
        <is>
          <t>P4: ngày ghi negative là ngày 0, campaign nguồn được 7 ngày ân hạn khỏi R06</t>
        </is>
      </c>
    </row>
    <row r="22">
      <c r="A22" s="15" t="inlineStr">
        <is>
          <t>Search term</t>
        </is>
      </c>
      <c r="B22" s="16" t="inlineStr">
        <is>
          <t>R16</t>
        </is>
      </c>
      <c r="C22" s="15" t="inlineStr">
        <is>
          <t>Chặn search term nhiều click không ra đơn</t>
        </is>
      </c>
      <c r="D22" s="15" t="inlineStr">
        <is>
          <t>W14 có ≥30 click và 0 đơn (trừ khi trùng một Exact đang chạy)</t>
        </is>
      </c>
      <c r="E22" s="15" t="inlineStr">
        <is>
          <t>Thêm Negative Exact (kiểm tra trùng trước)</t>
        </is>
      </c>
      <c r="F22" s="15" t="inlineStr">
        <is>
          <t>Hằng ngày</t>
        </is>
      </c>
      <c r="G22" s="15" t="inlineStr">
        <is>
          <t>W14 lịch</t>
        </is>
      </c>
      <c r="H22" s="15" t="inlineStr">
        <is>
          <t>—</t>
        </is>
      </c>
      <c r="I22" s="15" t="inlineStr">
        <is>
          <t>—</t>
        </is>
      </c>
      <c r="J22" s="15" t="n">
        <v>2</v>
      </c>
      <c r="K22" s="15" t="inlineStr">
        <is>
          <t>Không</t>
        </is>
      </c>
      <c r="L22" s="15" t="n"/>
    </row>
    <row r="23">
      <c r="A23" s="15" t="inlineStr">
        <is>
          <t>Search term</t>
        </is>
      </c>
      <c r="B23" s="16" t="inlineStr">
        <is>
          <t>R17</t>
        </is>
      </c>
      <c r="C23" s="15" t="inlineStr">
        <is>
          <t>Chặn search term tốn tiền không ra đơn</t>
        </is>
      </c>
      <c r="D23" s="15" t="inlineStr">
        <is>
          <t>W14 chi tiêu ≥ 2.5×CPA_target, ≥12 click, 0 đơn (cùng ngoại lệ R16)</t>
        </is>
      </c>
      <c r="E23" s="15" t="inlineStr">
        <is>
          <t>Thêm Negative Exact</t>
        </is>
      </c>
      <c r="F23" s="15" t="inlineStr">
        <is>
          <t>Hằng ngày</t>
        </is>
      </c>
      <c r="G23" s="15" t="inlineStr">
        <is>
          <t>W14 lịch</t>
        </is>
      </c>
      <c r="H23" s="15" t="inlineStr">
        <is>
          <t>—</t>
        </is>
      </c>
      <c r="I23" s="15" t="inlineStr">
        <is>
          <t>—</t>
        </is>
      </c>
      <c r="J23" s="15" t="n">
        <v>3</v>
      </c>
      <c r="K23" s="15" t="inlineStr">
        <is>
          <t>Không</t>
        </is>
      </c>
      <c r="L23" s="15" t="n"/>
    </row>
    <row r="24">
      <c r="A24" s="15" t="inlineStr">
        <is>
          <t>Placement</t>
        </is>
      </c>
      <c r="B24" s="16" t="inlineStr">
        <is>
          <t>R19</t>
        </is>
      </c>
      <c r="C24" s="15" t="inlineStr">
        <is>
          <t>Giảm Top of Search</t>
        </is>
      </c>
      <c r="D24" s="15" t="inlineStr">
        <is>
          <t>Top W14 có ≥20 click, ACoS &gt; T_bad (0 đơn có chi tiêu cũng tính), chi tiêu Top ≥ 2×CPA_target, boost &gt; 0</t>
        </is>
      </c>
      <c r="E24" s="15" t="inlineStr">
        <is>
          <t>ToS −20 điểm (thấp nhất 0)</t>
        </is>
      </c>
      <c r="F24" s="15" t="inlineStr">
        <is>
          <t>Hằng ngày</t>
        </is>
      </c>
      <c r="G24" s="15" t="inlineStr">
        <is>
          <t>W14</t>
        </is>
      </c>
      <c r="H24" s="15" t="inlineStr">
        <is>
          <t>Placement 7 ngày</t>
        </is>
      </c>
      <c r="I24" s="15" t="inlineStr">
        <is>
          <t>—</t>
        </is>
      </c>
      <c r="J24" s="15" t="n">
        <v>1</v>
      </c>
      <c r="K24" s="15" t="inlineStr">
        <is>
          <t>Không</t>
        </is>
      </c>
      <c r="L24" s="15" t="n"/>
    </row>
    <row r="25">
      <c r="A25" s="15" t="inlineStr">
        <is>
          <t>Placement</t>
        </is>
      </c>
      <c r="B25" s="16" t="inlineStr">
        <is>
          <t>R18</t>
        </is>
      </c>
      <c r="C25" s="15" t="inlineStr">
        <is>
          <t>Tăng Top of Search</t>
        </is>
      </c>
      <c r="D25" s="15" t="inlineStr">
        <is>
          <t>NORMAL; Top W14 ≥30 click, ≥3 đơn; CVR Top ≥ 2× phần còn lại (phần còn lại &lt;30 click thì so CVR campaign); ACoS Top ≤ T_win</t>
        </is>
      </c>
      <c r="E25" s="15" t="inlineStr">
        <is>
          <t>ToS +10 điểm (tối đa 100%), phải thỏa trần G6</t>
        </is>
      </c>
      <c r="F25" s="15" t="inlineStr">
        <is>
          <t>Hằng ngày</t>
        </is>
      </c>
      <c r="G25" s="15" t="inlineStr">
        <is>
          <t>W14</t>
        </is>
      </c>
      <c r="H25" s="15" t="inlineStr">
        <is>
          <t>Placement 7 ngày</t>
        </is>
      </c>
      <c r="I25" s="15" t="inlineStr">
        <is>
          <t>MANAGE, ALERT</t>
        </is>
      </c>
      <c r="J25" s="15" t="n">
        <v>2</v>
      </c>
      <c r="K25" s="15" t="inlineStr">
        <is>
          <t>Có</t>
        </is>
      </c>
      <c r="L25" s="15" t="n"/>
    </row>
    <row r="26">
      <c r="A26" s="17" t="inlineStr">
        <is>
          <t>Theo giờ</t>
        </is>
      </c>
      <c r="B26" s="18" t="inlineStr">
        <is>
          <t>R20</t>
        </is>
      </c>
      <c r="C26" s="17" t="inlineStr">
        <is>
          <t>Giảm bid giờ yếu</t>
        </is>
      </c>
      <c r="D26" s="17" t="inlineStr">
        <is>
          <t>Giờ H có ≥40 click trong 28 ngày và CVR giờ &lt; 0.5×CVR campaign</t>
        </is>
      </c>
      <c r="E26" s="17" t="inlineStr">
        <is>
          <t>Bid giờ H = base × 0.70 (không dưới 0.5×base và $0.20). Bỏ qua target PAUSED</t>
        </is>
      </c>
      <c r="F26" s="17" t="inlineStr">
        <is>
          <t>Hàng tuần + theo khung giờ</t>
        </is>
      </c>
      <c r="G26" s="17" t="inlineStr">
        <is>
          <t>28 ngày theo giờ</t>
        </is>
      </c>
      <c r="H26" s="17" t="inlineStr">
        <is>
          <t>—</t>
        </is>
      </c>
      <c r="I26" s="17" t="inlineStr">
        <is>
          <t>—</t>
        </is>
      </c>
      <c r="J26" s="17" t="n">
        <v>1</v>
      </c>
      <c r="K26" s="17" t="inlineStr">
        <is>
          <t>Có</t>
        </is>
      </c>
      <c r="L26" s="17" t="inlineStr">
        <is>
          <t>P6: bỏ ngày giờ H bị cạn budget; chỉ học khi ≥20 ngày sạch</t>
        </is>
      </c>
    </row>
    <row r="27">
      <c r="A27" s="17" t="inlineStr">
        <is>
          <t>Theo giờ</t>
        </is>
      </c>
      <c r="B27" s="18" t="inlineStr">
        <is>
          <t>R21</t>
        </is>
      </c>
      <c r="C27" s="17" t="inlineStr">
        <is>
          <t>Tăng bid giờ mạnh</t>
        </is>
      </c>
      <c r="D27" s="17" t="inlineStr">
        <is>
          <t>Giờ H có ≥40 click, ≥2 đơn, CVR giờ ≥ 1.3×CVR campaign, CVR campaign &gt; 0, NORMAL</t>
        </is>
      </c>
      <c r="E27" s="17" t="inlineStr">
        <is>
          <t>Bid giờ H = base × 1.15 (không vượt Bid_max). Bỏ qua target PAUSED</t>
        </is>
      </c>
      <c r="F27" s="17" t="inlineStr">
        <is>
          <t>Hàng tuần + theo khung giờ</t>
        </is>
      </c>
      <c r="G27" s="17" t="inlineStr">
        <is>
          <t>28 ngày theo giờ</t>
        </is>
      </c>
      <c r="H27" s="17" t="inlineStr">
        <is>
          <t>—</t>
        </is>
      </c>
      <c r="I27" s="17" t="inlineStr">
        <is>
          <t>MANAGE, ALERT</t>
        </is>
      </c>
      <c r="J27" s="17" t="n">
        <v>2</v>
      </c>
      <c r="K27" s="17" t="inlineStr">
        <is>
          <t>Có</t>
        </is>
      </c>
      <c r="L27" s="17" t="inlineStr">
        <is>
          <t>P6: như R20</t>
        </is>
      </c>
    </row>
    <row r="28">
      <c r="A28" s="15" t="inlineStr">
        <is>
          <t>Theo giờ</t>
        </is>
      </c>
      <c r="B28" s="16" t="inlineStr">
        <is>
          <t>R21B</t>
        </is>
      </c>
      <c r="C28" s="15" t="inlineStr">
        <is>
          <t>Trả bid khi hết khung giờ</t>
        </is>
      </c>
      <c r="D28" s="15" t="inlineStr">
        <is>
          <t>Kết thúc mỗi khung giờ</t>
        </is>
      </c>
      <c r="E28" s="15" t="inlineStr">
        <is>
          <t>Bid = base × hệ số khung kế tiếp (không có thì ×1.0). Chỉ gọi API 1 lần tại ranh giới</t>
        </is>
      </c>
      <c r="F28" s="15" t="inlineStr">
        <is>
          <t>Mỗi ranh giới giờ</t>
        </is>
      </c>
      <c r="G28" s="15" t="inlineStr">
        <is>
          <t>—</t>
        </is>
      </c>
      <c r="H28" s="15" t="inlineStr">
        <is>
          <t>—</t>
        </is>
      </c>
      <c r="I28" s="15" t="inlineStr">
        <is>
          <t>—</t>
        </is>
      </c>
      <c r="J28" s="15" t="n">
        <v>3</v>
      </c>
      <c r="K28" s="15" t="inlineStr">
        <is>
          <t>Có</t>
        </is>
      </c>
      <c r="L28" s="15" t="n"/>
    </row>
  </sheetData>
  <autoFilter ref="A4:L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8" customWidth="1" min="3" max="3"/>
    <col width="44" customWidth="1" min="4" max="4"/>
  </cols>
  <sheetData>
    <row r="1">
      <c r="A1" s="1" t="inlineStr">
        <is>
          <t>Tham số theo sản phẩm (G1) — tự tính</t>
        </is>
      </c>
    </row>
    <row r="2">
      <c r="A2" s="2" t="inlineStr">
        <is>
          <t>Nhập 3 ô màu vàng (chữ xanh dương); mọi ngưỡng bên dưới tự tính lại. Ví dụ mặc định: sản phẩm $30, BE 40%, CVR 10%.</t>
        </is>
      </c>
    </row>
    <row r="4">
      <c r="A4" s="3" t="inlineStr">
        <is>
          <t>Đầu vào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Giá bán (Price)</t>
        </is>
      </c>
      <c r="B5" s="19" t="n">
        <v>30</v>
      </c>
      <c r="C5" s="4" t="inlineStr">
        <is>
          <t>Nhập giá bán của ASIN</t>
        </is>
      </c>
    </row>
    <row r="6">
      <c r="A6" s="4" t="inlineStr">
        <is>
          <t>ACoS hòa vốn (BE)</t>
        </is>
      </c>
      <c r="B6" s="20" t="n">
        <v>0.4</v>
      </c>
      <c r="C6" s="4" t="inlineStr">
        <is>
          <t>Nhập dạng phần trăm</t>
        </is>
      </c>
    </row>
    <row r="7">
      <c r="A7" s="4" t="inlineStr">
        <is>
          <t>Tỷ lệ chuyển đổi kỳ vọng (Exp_CVR)</t>
        </is>
      </c>
      <c r="B7" s="20" t="n">
        <v>0.1</v>
      </c>
      <c r="C7" s="4" t="inlineStr">
        <is>
          <t>Mặc định 10% theo spec</t>
        </is>
      </c>
    </row>
    <row r="9">
      <c r="A9" s="3" t="inlineStr">
        <is>
          <t>Tham số</t>
        </is>
      </c>
      <c r="B9" s="3" t="inlineStr">
        <is>
          <t>Giá trị</t>
        </is>
      </c>
      <c r="C9" s="3" t="inlineStr">
        <is>
          <t>Công thức (spec)</t>
        </is>
      </c>
      <c r="D9" s="3" t="inlineStr">
        <is>
          <t>Ý nghĩa</t>
        </is>
      </c>
    </row>
    <row r="10">
      <c r="A10" s="21" t="inlineStr">
        <is>
          <t>T_win</t>
        </is>
      </c>
      <c r="B10" s="22">
        <f>MIN(0.3,0.7*B6)</f>
        <v/>
      </c>
      <c r="C10" s="4" t="inlineStr">
        <is>
          <t>min(30%, 0.7×BE)</t>
        </is>
      </c>
      <c r="D10" s="4" t="inlineStr">
        <is>
          <t>ACoS TỐT — lãi thoải mái</t>
        </is>
      </c>
    </row>
    <row r="11">
      <c r="A11" s="21" t="inlineStr">
        <is>
          <t>T_ok</t>
        </is>
      </c>
      <c r="B11" s="22">
        <f>MIN(0.4,0.9*B6)</f>
        <v/>
      </c>
      <c r="C11" s="4" t="inlineStr">
        <is>
          <t>min(40%, 0.9×BE)</t>
        </is>
      </c>
      <c r="D11" s="4" t="inlineStr">
        <is>
          <t>ACoS chấp nhận được</t>
        </is>
      </c>
    </row>
    <row r="12">
      <c r="A12" s="21" t="inlineStr">
        <is>
          <t>T_bad</t>
        </is>
      </c>
      <c r="B12" s="22">
        <f>MIN(0.5,1.1*B6)</f>
        <v/>
      </c>
      <c r="C12" s="4" t="inlineStr">
        <is>
          <t>min(50%, 1.1×BE)</t>
        </is>
      </c>
      <c r="D12" s="4" t="inlineStr">
        <is>
          <t>ACoS tệ — sắp lỗ</t>
        </is>
      </c>
    </row>
    <row r="13">
      <c r="A13" s="21" t="inlineStr">
        <is>
          <t>CPA_target</t>
        </is>
      </c>
      <c r="B13" s="23">
        <f>B5*B10</f>
        <v/>
      </c>
      <c r="C13" s="4" t="inlineStr">
        <is>
          <t>Price × T_win</t>
        </is>
      </c>
      <c r="D13" s="4" t="inlineStr">
        <is>
          <t>Tối đa tiền quảng cáo cho 1 đơn</t>
        </is>
      </c>
    </row>
    <row r="14">
      <c r="A14" s="21" t="inlineStr">
        <is>
          <t>Spend_zero</t>
        </is>
      </c>
      <c r="B14" s="23">
        <f>MIN(40,MAX(10,2.5*B13))</f>
        <v/>
      </c>
      <c r="C14" s="4" t="inlineStr">
        <is>
          <t>2.5 × CPA_target, kẹp $10–$40</t>
        </is>
      </c>
      <c r="D14" s="4" t="inlineStr">
        <is>
          <t>Tiêu bấy nhiêu mà 0 đơn là "đốt tiền"</t>
        </is>
      </c>
    </row>
    <row r="15">
      <c r="A15" s="21" t="inlineStr">
        <is>
          <t>N2</t>
        </is>
      </c>
      <c r="B15" s="24">
        <f>ROUNDUP(2/B7,0)</f>
        <v/>
      </c>
      <c r="C15" s="4" t="inlineStr">
        <is>
          <t>2 ÷ Exp_CVR, làm tròn lên</t>
        </is>
      </c>
      <c r="D15" s="4" t="inlineStr">
        <is>
          <t>Click tối thiểu để kết luận "chưa ra đơn là có vấn đề"</t>
        </is>
      </c>
    </row>
    <row r="16">
      <c r="A16" s="21" t="inlineStr">
        <is>
          <t>N3</t>
        </is>
      </c>
      <c r="B16" s="24">
        <f>ROUNDUP(3/B7,0)</f>
        <v/>
      </c>
      <c r="C16" s="4" t="inlineStr">
        <is>
          <t>3 ÷ Exp_CVR</t>
        </is>
      </c>
      <c r="D16" s="4" t="inlineStr">
        <is>
          <t>Click để kết luận chắc hơn</t>
        </is>
      </c>
    </row>
    <row r="17">
      <c r="A17" s="21" t="inlineStr">
        <is>
          <t>N2h</t>
        </is>
      </c>
      <c r="B17" s="24">
        <f>ROUNDUP(B15/2,0)</f>
        <v/>
      </c>
      <c r="C17" s="4" t="inlineStr">
        <is>
          <t>N2 ÷ 2</t>
        </is>
      </c>
      <c r="D17" s="4" t="inlineStr">
        <is>
          <t>Một nửa N2</t>
        </is>
      </c>
    </row>
    <row r="18">
      <c r="A18" s="21" t="inlineStr">
        <is>
          <t>N17</t>
        </is>
      </c>
      <c r="B18" s="24">
        <f>ROUNDUP(0.6*B15,0)</f>
        <v/>
      </c>
      <c r="C18" s="4" t="inlineStr">
        <is>
          <t>0.6 × N2</t>
        </is>
      </c>
      <c r="D18" s="4" t="inlineStr">
        <is>
          <t>Dùng cho R17</t>
        </is>
      </c>
    </row>
    <row r="19">
      <c r="A19" s="21" t="inlineStr">
        <is>
          <t>Bid_min</t>
        </is>
      </c>
      <c r="B19" s="25" t="n">
        <v>0.2</v>
      </c>
      <c r="C19" s="4" t="inlineStr">
        <is>
          <t>Cố định $0.20</t>
        </is>
      </c>
      <c r="D19" s="4" t="inlineStr">
        <is>
          <t>Bid thấp nhất</t>
        </is>
      </c>
    </row>
    <row r="20">
      <c r="A20" s="21" t="inlineStr">
        <is>
          <t>Bid_max</t>
        </is>
      </c>
      <c r="B20" s="23">
        <f>MAX(0.2,MIN(3,B5*B7*B11))</f>
        <v/>
      </c>
      <c r="C20" s="4" t="inlineStr">
        <is>
          <t>max($0.20, min($3, Price × CVR × T_ok))</t>
        </is>
      </c>
      <c r="D20" s="4" t="inlineStr">
        <is>
          <t>Bid cao nhất được phép</t>
        </is>
      </c>
    </row>
    <row r="21">
      <c r="A21" s="21" t="inlineStr">
        <is>
          <t>Cảnh báo sản phẩm</t>
        </is>
      </c>
      <c r="B21" s="26">
        <f>IF(MIN(3,B5*B7*B11)&lt;0.2,"Không khả thi ở bid tối thiểu","OK")</f>
        <v/>
      </c>
      <c r="C21" s="4" t="inlineStr">
        <is>
          <t>Bid_max tính ra &lt; $0.20 thì cảnh báo</t>
        </is>
      </c>
      <c r="D21" s="4" t="inlineStr">
        <is>
          <t>Theo spec Phần 1</t>
        </is>
      </c>
    </row>
    <row r="23">
      <c r="A23" s="27" t="inlineStr">
        <is>
          <t>Kiểm tra với ví dụ chuẩn của spec ($30, BE 40%, CVR 10%): T_win 28%, T_ok 36%, T_bad 44%, CPA $8.40, Spend_zero $21, N2 20, N3 30, Bid_max $1.08.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8" customWidth="1" min="4" max="4"/>
  </cols>
  <sheetData>
    <row r="1">
      <c r="A1" s="1" t="inlineStr">
        <is>
          <t>Thang budget campaign</t>
        </is>
      </c>
    </row>
    <row r="2">
      <c r="A2" s="2" t="inlineStr">
        <is>
          <t>Từ $12 trở lên mỗi bậc ×1.2, tối đa $25. Bậc $24.88 lấy theo spec (tính lại từ $20.74 sẽ ra $24.89).</t>
        </is>
      </c>
    </row>
    <row r="4">
      <c r="A4" s="3" t="inlineStr">
        <is>
          <t>Bậc</t>
        </is>
      </c>
      <c r="B4" s="3" t="inlineStr">
        <is>
          <t>Budget ($/ngày)</t>
        </is>
      </c>
      <c r="C4" s="3" t="inlineStr">
        <is>
          <t>Rule đưa lên bậc này</t>
        </is>
      </c>
      <c r="D4" s="3" t="inlineStr">
        <is>
          <t>Cách tính</t>
        </is>
      </c>
    </row>
    <row r="5">
      <c r="A5" s="4" t="n">
        <v>0</v>
      </c>
      <c r="B5" s="25" t="n">
        <v>5</v>
      </c>
      <c r="C5" s="4" t="inlineStr">
        <is>
          <t>R01 (khởi tạo), R05B, R06, R06B, R08</t>
        </is>
      </c>
      <c r="D5" s="4" t="inlineStr">
        <is>
          <t>Cố định</t>
        </is>
      </c>
    </row>
    <row r="6">
      <c r="A6" s="4" t="n">
        <v>1</v>
      </c>
      <c r="B6" s="25" t="n">
        <v>8</v>
      </c>
      <c r="C6" s="4" t="inlineStr">
        <is>
          <t>R02</t>
        </is>
      </c>
      <c r="D6" s="4" t="inlineStr">
        <is>
          <t>Cố định</t>
        </is>
      </c>
    </row>
    <row r="7">
      <c r="A7" s="4" t="n">
        <v>2</v>
      </c>
      <c r="B7" s="25" t="n">
        <v>10</v>
      </c>
      <c r="C7" s="4" t="inlineStr">
        <is>
          <t>R03</t>
        </is>
      </c>
      <c r="D7" s="4" t="inlineStr">
        <is>
          <t>Cố định</t>
        </is>
      </c>
    </row>
    <row r="8">
      <c r="A8" s="4" t="n">
        <v>3</v>
      </c>
      <c r="B8" s="25" t="n">
        <v>12</v>
      </c>
      <c r="C8" s="4" t="inlineStr">
        <is>
          <t>R04</t>
        </is>
      </c>
      <c r="D8" s="4" t="inlineStr">
        <is>
          <t>Cố định</t>
        </is>
      </c>
    </row>
    <row r="9">
      <c r="A9" s="4" t="n">
        <v>4</v>
      </c>
      <c r="B9" s="23">
        <f>ROUND(B8*1.2,2)</f>
        <v/>
      </c>
      <c r="C9" s="4" t="inlineStr">
        <is>
          <t>R04B</t>
        </is>
      </c>
      <c r="D9" s="4" t="inlineStr">
        <is>
          <t>Bậc trước × 1.2</t>
        </is>
      </c>
    </row>
    <row r="10">
      <c r="A10" s="4" t="n">
        <v>5</v>
      </c>
      <c r="B10" s="23">
        <f>ROUND(B9*1.2,2)</f>
        <v/>
      </c>
      <c r="C10" s="4" t="inlineStr">
        <is>
          <t>R04B</t>
        </is>
      </c>
      <c r="D10" s="4" t="inlineStr">
        <is>
          <t>Bậc trước × 1.2</t>
        </is>
      </c>
    </row>
    <row r="11">
      <c r="A11" s="4" t="n">
        <v>6</v>
      </c>
      <c r="B11" s="23">
        <f>ROUND(B10*1.2,2)</f>
        <v/>
      </c>
      <c r="C11" s="4" t="inlineStr">
        <is>
          <t>R04B</t>
        </is>
      </c>
      <c r="D11" s="4" t="inlineStr">
        <is>
          <t>Bậc trước × 1.2</t>
        </is>
      </c>
    </row>
    <row r="12">
      <c r="A12" s="4" t="n">
        <v>7</v>
      </c>
      <c r="B12" s="25" t="n">
        <v>24.88</v>
      </c>
      <c r="C12" s="4" t="inlineStr">
        <is>
          <t>R04B</t>
        </is>
      </c>
      <c r="D12" s="4" t="inlineStr">
        <is>
          <t>Theo spec (×1.2 từ $20.74 cho $24.89)</t>
        </is>
      </c>
    </row>
    <row r="13">
      <c r="A13" s="4" t="n">
        <v>8</v>
      </c>
      <c r="B13" s="23">
        <f>MIN(25,ROUND(B12*1.2,2))</f>
        <v/>
      </c>
      <c r="C13" s="4" t="inlineStr">
        <is>
          <t>R04B</t>
        </is>
      </c>
      <c r="D13" s="4" t="inlineStr">
        <is>
          <t>Trần $25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0" customWidth="1" min="3" max="3"/>
  </cols>
  <sheetData>
    <row r="1">
      <c r="A1" s="1" t="inlineStr">
        <is>
          <t>Nguyên tắc chung G1–G8</t>
        </is>
      </c>
    </row>
    <row r="2">
      <c r="A2" s="2" t="inlineStr">
        <is>
          <t>Áp dụng cho mọi rule</t>
        </is>
      </c>
    </row>
    <row r="4">
      <c r="A4" s="14" t="inlineStr">
        <is>
          <t>Mã</t>
        </is>
      </c>
      <c r="B4" s="14" t="inlineStr">
        <is>
          <t>Nguyên tắc</t>
        </is>
      </c>
      <c r="C4" s="14" t="inlineStr">
        <is>
          <t>Nội dung</t>
        </is>
      </c>
    </row>
    <row r="5">
      <c r="A5" s="15" t="inlineStr">
        <is>
          <t>G1</t>
        </is>
      </c>
      <c r="B5" s="15" t="inlineStr">
        <is>
          <t>Tham số theo sản phẩm</t>
        </is>
      </c>
      <c r="C5" s="15" t="inlineStr">
        <is>
          <t>Mọi ngưỡng tính theo giá bán, BE và CVR của từng ASIN (xem sheet Tham số G1); không dùng con số cố định.</t>
        </is>
      </c>
    </row>
    <row r="6">
      <c r="A6" s="15" t="inlineStr">
        <is>
          <t>G2</t>
        </is>
      </c>
      <c r="B6" s="15" t="inlineStr">
        <is>
          <t>Chỉ dùng dữ liệu đã chín</t>
        </is>
      </c>
      <c r="C6" s="15" t="inlineStr">
        <is>
          <t>Cửa sổ W3/W7/W14 kết thúc ở D-2. "0 đơn" chỉ đúng khi D-3 lẫn D-2 đều không có đơn. Sau mỗi lần thay đổi chỉ tính dữ liệu từ sau lần đó (W_post, tối đa 30 ngày). Rule 3 ngày cần đủ 3 ngày chín, rule 7 ngày cần đủ 7 ngày chín.</t>
        </is>
      </c>
    </row>
    <row r="7">
      <c r="A7" s="15" t="inlineStr">
        <is>
          <t>G3</t>
        </is>
      </c>
      <c r="B7" s="15" t="inlineStr">
        <is>
          <t>Reset, cooldown, ân hạn</t>
        </is>
      </c>
      <c r="C7" s="15" t="inlineStr">
        <is>
          <t>Đổi bid/budget/placement thì reset cửa sổ. Thay đổi không đổi giá trị thì không reset, không tính cooldown. Cooldown: bid 3 ngày (5 sau R12), budget 2 ngày, placement 7 ngày. Campaign mới/bật lại có 3 ngày ân hạn: R02–R09 không chạy.</t>
        </is>
      </c>
    </row>
    <row r="8">
      <c r="A8" s="15" t="inlineStr">
        <is>
          <t>G4</t>
        </is>
      </c>
      <c r="B8" s="15" t="inlineStr">
        <is>
          <t>Bộ nhớ hệ thống</t>
        </is>
      </c>
      <c r="C8" s="15" t="inlineStr">
        <is>
          <t>Campaign: tag, bậc budget, bậc trước khi gắn tag, ACoS nền, các mốc thời gian, giai đoạn R06B, số lần R09 đạt, % ToS, [v3.2] ngày hết ân hạn harvest. Target: base_bid, anchor_bid, hệ số giảm do tag, hệ số giờ, các cờ, bộ đếm R12/R14. Bid gửi lên = base_bid × hệ số giờ.</t>
        </is>
      </c>
    </row>
    <row r="9">
      <c r="A9" s="15" t="inlineStr">
        <is>
          <t>G5</t>
        </is>
      </c>
      <c r="B9" s="15" t="inlineStr">
        <is>
          <t>Mỗi lần chạy chỉ 1 hành động</t>
        </is>
      </c>
      <c r="C9" s="15" t="inlineStr">
        <is>
          <t>Rule đứng trước thắng (thứ tự xem sheet Rule). Rule chỉ "khớp" khi thực sự đổi được giá trị; không đổi thì nhường rule sau.</t>
        </is>
      </c>
    </row>
    <row r="10">
      <c r="A10" s="15" t="inlineStr">
        <is>
          <t>G6</t>
        </is>
      </c>
      <c r="B10" s="15" t="inlineStr">
        <is>
          <t>Giới hạn bid</t>
        </is>
      </c>
      <c r="C10" s="15" t="inlineStr">
        <is>
          <t>Mỗi lần đổi base_bid tối đa ±20% (R20/R21/R21B không bị giới hạn này). $0.20 ≤ bid ≤ Bid_max. Bid × (1 + ToS%) ≤ 1.5 × Bid_max. base_bid trong [0.5×, 2×] anchor_bid.</t>
        </is>
      </c>
    </row>
    <row r="11">
      <c r="A11" s="15" t="inlineStr">
        <is>
          <t>G7</t>
        </is>
      </c>
      <c r="B11" s="15" t="inlineStr">
        <is>
          <t>Gọi API an toàn</t>
        </is>
      </c>
      <c r="C11" s="15" t="inlineStr">
        <is>
          <t>Xóa tag cũ bằng regex trước khi gắn tag mới, không có tag kép. Kiểm tra trùng trước khi tạo keyword/negative. ALERT &gt; MANAGE, không ghi đè ALERT bằng MANAGE. Keyword dùng /sp/keywords, Auto/Product dùng /sp/targets.</t>
        </is>
      </c>
    </row>
    <row r="12">
      <c r="A12" s="15" t="inlineStr">
        <is>
          <t>G8</t>
        </is>
      </c>
      <c r="B12" s="15" t="inlineStr">
        <is>
          <t>Múi giờ</t>
        </is>
      </c>
      <c r="C12" s="15" t="inlineStr">
        <is>
          <t>Mọi giờ chạy và ngày tính theo giờ marketplace (Mỹ = Pacific), không theo giờ Hà Nội.</t>
        </is>
      </c>
    </row>
  </sheetData>
  <autoFilter ref="A4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0" customWidth="1" min="4" max="4"/>
    <col width="40" customWidth="1" min="5" max="5"/>
    <col width="42" customWidth="1" min="6" max="6"/>
    <col width="50" customWidth="1" min="7" max="7"/>
    <col width="12" customWidth="1" min="8" max="8"/>
    <col width="12" customWidth="1" min="9" max="9"/>
    <col width="32" customWidth="1" min="10" max="10"/>
  </cols>
  <sheetData>
    <row r="1">
      <c r="A1" s="1" t="inlineStr">
        <is>
          <t>Test case — golden, edge case và đối chứng</t>
        </is>
      </c>
    </row>
    <row r="2">
      <c r="A2" s="2" t="inlineStr">
        <is>
          <t>GOLDEN/INVARIANT: phải đúng, test fail nếu sai. MEASURE: đo và ghi số liệu. Kết quả thực tế lấy từ lần chạy simulator ngày 21/10/2026.</t>
        </is>
      </c>
    </row>
    <row r="4">
      <c r="A4" s="14" t="inlineStr">
        <is>
          <t>Mã</t>
        </is>
      </c>
      <c r="B4" s="14" t="inlineStr">
        <is>
          <t>Nhóm</t>
        </is>
      </c>
      <c r="C4" s="14" t="inlineStr">
        <is>
          <t>Tên test</t>
        </is>
      </c>
      <c r="D4" s="14" t="inlineStr">
        <is>
          <t>Rule liên quan</t>
        </is>
      </c>
      <c r="E4" s="14" t="inlineStr">
        <is>
          <t>Kịch bản</t>
        </is>
      </c>
      <c r="F4" s="14" t="inlineStr">
        <is>
          <t>Kết quả mong đợi</t>
        </is>
      </c>
      <c r="G4" s="14" t="inlineStr">
        <is>
          <t>Kết quả thực tế</t>
        </is>
      </c>
      <c r="H4" s="14" t="inlineStr">
        <is>
          <t>Loại</t>
        </is>
      </c>
      <c r="I4" s="14" t="inlineStr">
        <is>
          <t>Trạng thái</t>
        </is>
      </c>
      <c r="J4" s="14" t="inlineStr">
        <is>
          <t>Nguồn (file)</t>
        </is>
      </c>
    </row>
    <row r="5">
      <c r="A5" s="16" t="inlineStr">
        <is>
          <t>GT-01</t>
        </is>
      </c>
      <c r="B5" s="15" t="inlineStr">
        <is>
          <t>Golden (spec Phần 10)</t>
        </is>
      </c>
      <c r="C5" s="15" t="inlineStr">
        <is>
          <t>Campaign thắng</t>
        </is>
      </c>
      <c r="D5" s="15" t="inlineStr">
        <is>
          <t>R01, R02, R03, R04, R04B</t>
        </is>
      </c>
      <c r="E5" s="15" t="inlineStr">
        <is>
          <t>Sản phẩm $30/BE 40%; mỗi ngày tiêu hết budget, 2 đơn, ACoS 20%</t>
        </is>
      </c>
      <c r="F5" s="15" t="inlineStr">
        <is>
          <t>R02 ngày 4 ($8), R03 ngày 8 ($10), R04 ngày 12 ($12), R04B ngày 20/28/36</t>
        </is>
      </c>
      <c r="G5" s="15" t="inlineStr">
        <is>
          <t>Đúng: 4/8/12/20/28/36; budget $8 → $10 → $12 → $14.40 → $17.28 → $20.74</t>
        </is>
      </c>
      <c r="H5" s="15" t="inlineStr">
        <is>
          <t>GOLDEN</t>
        </is>
      </c>
      <c r="I5" s="28" t="inlineStr">
        <is>
          <t>PASS</t>
        </is>
      </c>
      <c r="J5" s="15" t="inlineStr">
        <is>
          <t>test/campaign-loop.test.ts</t>
        </is>
      </c>
    </row>
    <row r="6">
      <c r="A6" s="16" t="inlineStr">
        <is>
          <t>GT-02</t>
        </is>
      </c>
      <c r="B6" s="15" t="inlineStr">
        <is>
          <t>Golden (spec Phần 10)</t>
        </is>
      </c>
      <c r="C6" s="15" t="inlineStr">
        <is>
          <t>Campaign 0 đơn</t>
        </is>
      </c>
      <c r="D6" s="15" t="inlineStr">
        <is>
          <t>R01, R06</t>
        </is>
      </c>
      <c r="E6" s="15" t="inlineStr">
        <is>
          <t>$5/ngày, 5 click/ngày, 0 đơn</t>
        </is>
      </c>
      <c r="F6" s="15" t="inlineStr">
        <is>
          <t>R06 PAUSE khoảng ngày 7, gửi thông báo, giữ PAUSED</t>
        </is>
      </c>
      <c r="G6" s="15" t="inlineStr">
        <is>
          <t>R06 ngày 6 (ngày 0–4 đủ $25 và 25 click), có thông báo R06_PAUSED, giữ PAUSED đến hết</t>
        </is>
      </c>
      <c r="H6" s="15" t="inlineStr">
        <is>
          <t>GOLDEN</t>
        </is>
      </c>
      <c r="I6" s="28" t="inlineStr">
        <is>
          <t>PASS</t>
        </is>
      </c>
      <c r="J6" s="15" t="inlineStr">
        <is>
          <t>test/campaign-loop.test.ts</t>
        </is>
      </c>
    </row>
    <row r="7">
      <c r="A7" s="16" t="inlineStr">
        <is>
          <t>GT-03</t>
        </is>
      </c>
      <c r="B7" s="15" t="inlineStr">
        <is>
          <t>Golden (spec Phần 10)</t>
        </is>
      </c>
      <c r="C7" s="15" t="inlineStr">
        <is>
          <t>Xấu đi rồi hồi phục</t>
        </is>
      </c>
      <c r="D7" s="15" t="inlineStr">
        <is>
          <t>R07, R09</t>
        </is>
      </c>
      <c r="E7" s="15" t="inlineStr">
        <is>
          <t>Đạt $12 rồi ACoS 40% (≥1 đơn/ngày), sau đó về 18%</t>
        </is>
      </c>
      <c r="F7" s="15" t="inlineStr">
        <is>
          <t>R07 gắn MANAGE, budget ≤ $8, bid −10%; R09 gỡ tag sau 2 lần đạt; bid +10% mỗi 3 ngày</t>
        </is>
      </c>
      <c r="G7" s="15" t="inlineStr">
        <is>
          <t>R07 ngày 21 ($8, bid ×0.9); R09 ngày 33 về $12; khôi phục bid ngày 36 (×0.99) và 39 (×1.0); không có R05</t>
        </is>
      </c>
      <c r="H7" s="15" t="inlineStr">
        <is>
          <t>GOLDEN</t>
        </is>
      </c>
      <c r="I7" s="28" t="inlineStr">
        <is>
          <t>PASS</t>
        </is>
      </c>
      <c r="J7" s="15" t="inlineStr">
        <is>
          <t>test/campaign-loop.test.ts</t>
        </is>
      </c>
    </row>
    <row r="8">
      <c r="A8" s="16" t="inlineStr">
        <is>
          <t>GT-04</t>
        </is>
      </c>
      <c r="B8" s="15" t="inlineStr">
        <is>
          <t>Golden</t>
        </is>
      </c>
      <c r="C8" s="15" t="inlineStr">
        <is>
          <t>ALERT rồi pause</t>
        </is>
      </c>
      <c r="D8" s="15" t="inlineStr">
        <is>
          <t>R08, R06</t>
        </is>
      </c>
      <c r="E8" s="15" t="inlineStr">
        <is>
          <t>Đạt $12, sau đó 0 đơn, $5/ngày</t>
        </is>
      </c>
      <c r="F8" s="15" t="inlineStr">
        <is>
          <t>R08 gắn ALERT, budget $5; nếu vẫn 0 đơn thì R06 PAUSE</t>
        </is>
      </c>
      <c r="G8" s="15" t="inlineStr">
        <is>
          <t>R08 ngày 18 ($5, ALERT), R06 ngày 24 PAUSED_AUTO; thông báo R08_ALERT, R06_PAUSED</t>
        </is>
      </c>
      <c r="H8" s="15" t="inlineStr">
        <is>
          <t>GOLDEN</t>
        </is>
      </c>
      <c r="I8" s="28" t="inlineStr">
        <is>
          <t>PASS</t>
        </is>
      </c>
      <c r="J8" s="15" t="inlineStr">
        <is>
          <t>test/campaign-loop.test.ts</t>
        </is>
      </c>
    </row>
    <row r="9">
      <c r="A9" s="16" t="inlineStr">
        <is>
          <t>GT-05</t>
        </is>
      </c>
      <c r="B9" s="15" t="inlineStr">
        <is>
          <t>Golden</t>
        </is>
      </c>
      <c r="C9" s="15" t="inlineStr">
        <is>
          <t>ALERT rồi hồi phục</t>
        </is>
      </c>
      <c r="D9" s="15" t="inlineStr">
        <is>
          <t>R08, R09</t>
        </is>
      </c>
      <c r="E9" s="15" t="inlineStr">
        <is>
          <t>Như GT-04 nhưng ra đơn lại từ ngày 18</t>
        </is>
      </c>
      <c r="F9" s="15" t="inlineStr">
        <is>
          <t>R09 gỡ ALERT, budget về bậc đã lưu ($12)</t>
        </is>
      </c>
      <c r="G9" s="15" t="inlineStr">
        <is>
          <t>R08 ngày 18, R09 ngày 27 về $12 NORMAL</t>
        </is>
      </c>
      <c r="H9" s="15" t="inlineStr">
        <is>
          <t>GOLDEN</t>
        </is>
      </c>
      <c r="I9" s="28" t="inlineStr">
        <is>
          <t>PASS</t>
        </is>
      </c>
      <c r="J9" s="15" t="inlineStr">
        <is>
          <t>test/campaign-loop.test.ts</t>
        </is>
      </c>
    </row>
    <row r="10">
      <c r="A10" s="16" t="inlineStr">
        <is>
          <t>GT-06</t>
        </is>
      </c>
      <c r="B10" s="15" t="inlineStr">
        <is>
          <t>Golden</t>
        </is>
      </c>
      <c r="C10" s="15" t="inlineStr">
        <is>
          <t>Campaign lỗ kéo dài (R06B)</t>
        </is>
      </c>
      <c r="D10" s="15" t="inlineStr">
        <is>
          <t>R06B</t>
        </is>
      </c>
      <c r="E10" s="15" t="inlineStr">
        <is>
          <t>ACoS 70% (&gt; 1.5×BE = 60%), có đơn</t>
        </is>
      </c>
      <c r="F10" s="15" t="inlineStr">
        <is>
          <t>Bước 1: MANAGE, $5, bid −20%; bước 2 PAUSE nếu vẫn lỗ; nếu hồi phục thì giữ tag cho R09</t>
        </is>
      </c>
      <c r="G10" s="15" t="inlineStr">
        <is>
          <t>Bước 1 ngày 6, bước 2 ngày 14; biến thể còn lỗ → PAUSED (R06B_PAUSED); biến thể hồi phục → giữ MANAGE</t>
        </is>
      </c>
      <c r="H10" s="15" t="inlineStr">
        <is>
          <t>GOLDEN</t>
        </is>
      </c>
      <c r="I10" s="28" t="inlineStr">
        <is>
          <t>PASS</t>
        </is>
      </c>
      <c r="J10" s="15" t="inlineStr">
        <is>
          <t>test/campaign-loop.test.ts</t>
        </is>
      </c>
    </row>
    <row r="11">
      <c r="A11" s="16" t="inlineStr">
        <is>
          <t>GT-07</t>
        </is>
      </c>
      <c r="B11" s="15" t="inlineStr">
        <is>
          <t>Regression</t>
        </is>
      </c>
      <c r="C11" s="15" t="inlineStr">
        <is>
          <t>R06B kích hoạt lại sau hồi phục</t>
        </is>
      </c>
      <c r="D11" s="15" t="inlineStr">
        <is>
          <t>R06B, R09</t>
        </is>
      </c>
      <c r="E11" s="15" t="inlineStr">
        <is>
          <t>ACoS 70% ngày 0–6, 20% ngày 7–40, 70% từ ngày 41; 80 ngày</t>
        </is>
      </c>
      <c r="F11" s="15" t="inlineStr">
        <is>
          <t>R06B chạy lại sau khi R09 gỡ tag</t>
        </is>
      </c>
      <c r="G11" s="15" t="inlineStr">
        <is>
          <t>R06B ngày 6 và 14; R09 ngày 15; R06B lần hai ngày 56; PAUSE ngày 64</t>
        </is>
      </c>
      <c r="H11" s="15" t="inlineStr">
        <is>
          <t>GOLDEN</t>
        </is>
      </c>
      <c r="I11" s="28" t="inlineStr">
        <is>
          <t>PASS</t>
        </is>
      </c>
      <c r="J11" s="15" t="inlineStr">
        <is>
          <t>test/campaign-loop.test.ts</t>
        </is>
      </c>
    </row>
    <row r="12">
      <c r="A12" s="16" t="inlineStr">
        <is>
          <t>GT-08</t>
        </is>
      </c>
      <c r="B12" s="15" t="inlineStr">
        <is>
          <t>Golden (spec Phần 10)</t>
        </is>
      </c>
      <c r="C12" s="15" t="inlineStr">
        <is>
          <t>Từ khóa không ra đơn</t>
        </is>
      </c>
      <c r="D12" s="15" t="inlineStr">
        <is>
          <t>R12, R13</t>
        </is>
      </c>
      <c r="E12" s="15" t="inlineStr">
        <is>
          <t>Bid $0.80; 20 click/$11.20 rồi thêm 10 click, 0 đơn</t>
        </is>
      </c>
      <c r="F12" s="15" t="inlineStr">
        <is>
          <t>R12 −20% + cờ lãng phí; thêm ≥10 click vẫn 0 đơn → R13 PAUSE</t>
        </is>
      </c>
      <c r="G12" s="15" t="inlineStr">
        <is>
          <t>R12 ngày 5 ($0.80 → $0.64); R13 ngày 7 PAUSED (30 click, $16.80)</t>
        </is>
      </c>
      <c r="H12" s="15" t="inlineStr">
        <is>
          <t>GOLDEN</t>
        </is>
      </c>
      <c r="I12" s="28" t="inlineStr">
        <is>
          <t>PASS</t>
        </is>
      </c>
      <c r="J12" s="15" t="inlineStr">
        <is>
          <t>test/account-loop.test.ts</t>
        </is>
      </c>
    </row>
    <row r="13">
      <c r="A13" s="16" t="inlineStr">
        <is>
          <t>A1</t>
        </is>
      </c>
      <c r="B13" s="15" t="inlineStr">
        <is>
          <t>Edge — dữ liệu &amp; thời gian</t>
        </is>
      </c>
      <c r="C13" s="15" t="inlineStr">
        <is>
          <t>Bão attribution</t>
        </is>
      </c>
      <c r="D13" s="15" t="inlineStr">
        <is>
          <t>R06, R12, R13, R16, R17, R05, R08</t>
        </is>
      </c>
      <c r="E13" s="15" t="inlineStr">
        <is>
          <t>30% đơn trễ 3–7 ngày + Prime Day làm trễ gấp đôi</t>
        </is>
      </c>
      <c r="F13" s="15" t="inlineStr">
        <is>
          <t>Đo số quyết định "0 đơn" bị sai khi dữ liệu chín</t>
        </is>
      </c>
      <c r="G13" s="15" t="inlineStr">
        <is>
          <t>0 quyết định sai (1 seed); Monte Carlo 100 seed cũng 0</t>
        </is>
      </c>
      <c r="H13" s="15" t="inlineStr">
        <is>
          <t>MEASURE</t>
        </is>
      </c>
      <c r="I13" s="29" t="inlineStr">
        <is>
          <t>ĐO ĐƯỢC</t>
        </is>
      </c>
      <c r="J13" s="15" t="inlineStr">
        <is>
          <t>scenarios/edge/A1.json</t>
        </is>
      </c>
    </row>
    <row r="14">
      <c r="A14" s="16" t="inlineStr">
        <is>
          <t>A2</t>
        </is>
      </c>
      <c r="B14" s="15" t="inlineStr">
        <is>
          <t>Edge — dữ liệu &amp; thời gian</t>
        </is>
      </c>
      <c r="C14" s="15" t="inlineStr">
        <is>
          <t>Đơn bị trả/hủy làm số liệu thay đổi</t>
        </is>
      </c>
      <c r="D14" s="15" t="inlineStr">
        <is>
          <t>Tất cả</t>
        </is>
      </c>
      <c r="E14" s="15" t="inlineStr">
        <is>
          <t>Có restatement giảm đơn</t>
        </is>
      </c>
      <c r="F14" s="15" t="inlineStr">
        <is>
          <t>Mọi quyết định ghi đúng phiên bản tham số và thời điểm dữ liệu; không đọc dữ liệu tương lai</t>
        </is>
      </c>
      <c r="G14" s="15" t="inlineStr">
        <is>
          <t>34 quyết định, 1.444 lần đọc số liệu, 1.787 bản sửa số liệu; không vi phạm</t>
        </is>
      </c>
      <c r="H14" s="15" t="inlineStr">
        <is>
          <t>INVARIANT</t>
        </is>
      </c>
      <c r="I14" s="28" t="inlineStr">
        <is>
          <t>PASS</t>
        </is>
      </c>
      <c r="J14" s="15" t="inlineStr">
        <is>
          <t>scenarios/edge/A2.json</t>
        </is>
      </c>
    </row>
    <row r="15">
      <c r="A15" s="16" t="inlineStr">
        <is>
          <t>A3</t>
        </is>
      </c>
      <c r="B15" s="15" t="inlineStr">
        <is>
          <t>Edge — dữ liệu &amp; thời gian</t>
        </is>
      </c>
      <c r="C15" s="15" t="inlineStr">
        <is>
          <t>Đổi giờ DST (01/11/2026, 14/03/2027)</t>
        </is>
      </c>
      <c r="D15" s="15" t="inlineStr">
        <is>
          <t>R20, R21, R21B</t>
        </is>
      </c>
      <c r="E15" s="15" t="inlineStr">
        <is>
          <t>Chạy qua 2 ngày đổi giờ</t>
        </is>
      </c>
      <c r="F15" s="15" t="inlineStr">
        <is>
          <t>Tổng theo giờ = tổng ngày; mỗi ranh giới giờ ≤ 1 lệnh API</t>
        </is>
      </c>
      <c r="G15" s="15" t="inlineStr">
        <is>
          <t>Đúng ở cả 2 ngày; tối đa 1 lệnh/ranh giới</t>
        </is>
      </c>
      <c r="H15" s="15" t="inlineStr">
        <is>
          <t>INVARIANT</t>
        </is>
      </c>
      <c r="I15" s="28" t="inlineStr">
        <is>
          <t>PASS</t>
        </is>
      </c>
      <c r="J15" s="15" t="inlineStr">
        <is>
          <t>scenarios/edge/A3.json</t>
        </is>
      </c>
    </row>
    <row r="16">
      <c r="A16" s="16" t="inlineStr">
        <is>
          <t>A4</t>
        </is>
      </c>
      <c r="B16" s="15" t="inlineStr">
        <is>
          <t>Edge — dữ liệu &amp; thời gian</t>
        </is>
      </c>
      <c r="C16" s="15" t="inlineStr">
        <is>
          <t>Máy chạy đặt giờ Việt Nam</t>
        </is>
      </c>
      <c r="D16" s="15" t="inlineStr">
        <is>
          <t>Tất cả</t>
        </is>
      </c>
      <c r="E16" s="15" t="inlineStr">
        <is>
          <t>Runner chạy ở múi giờ Asia/Ho_Chi_Minh</t>
        </is>
      </c>
      <c r="F16" s="15" t="inlineStr">
        <is>
          <t>Kết quả giống hệt khi chạy ở giờ Pacific</t>
        </is>
      </c>
      <c r="G16" s="15" t="inlineStr">
        <is>
          <t>Giống hệt</t>
        </is>
      </c>
      <c r="H16" s="15" t="inlineStr">
        <is>
          <t>INVARIANT</t>
        </is>
      </c>
      <c r="I16" s="28" t="inlineStr">
        <is>
          <t>PASS</t>
        </is>
      </c>
      <c r="J16" s="15" t="inlineStr">
        <is>
          <t>scenarios/edge/A4.json</t>
        </is>
      </c>
    </row>
    <row r="17">
      <c r="A17" s="16" t="inlineStr">
        <is>
          <t>A5</t>
        </is>
      </c>
      <c r="B17" s="15" t="inlineStr">
        <is>
          <t>Edge — dữ liệu &amp; thời gian</t>
        </is>
      </c>
      <c r="C17" s="15" t="inlineStr">
        <is>
          <t>Budget cạn giữa ngày</t>
        </is>
      </c>
      <c r="D17" s="15" t="inlineStr">
        <is>
          <t>R20</t>
        </is>
      </c>
      <c r="E17" s="15" t="inlineStr">
        <is>
          <t>Budget hết sớm trong ngày</t>
        </is>
      </c>
      <c r="F17" s="15" t="inlineStr">
        <is>
          <t>Đo số giờ thiếu dữ liệu và R20 có giảm bid giờ thiếu dữ liệu không</t>
        </is>
      </c>
      <c r="G17" s="15" t="inlineStr">
        <is>
          <t>5.020 target-giờ thiếu dữ liệu; R20 giảm bid ở giờ thiếu dữ liệu: 0</t>
        </is>
      </c>
      <c r="H17" s="15" t="inlineStr">
        <is>
          <t>MEASURE</t>
        </is>
      </c>
      <c r="I17" s="29" t="inlineStr">
        <is>
          <t>ĐO ĐƯỢC</t>
        </is>
      </c>
      <c r="J17" s="15" t="inlineStr">
        <is>
          <t>scenarios/edge/A5.json</t>
        </is>
      </c>
    </row>
    <row r="18">
      <c r="A18" s="16" t="inlineStr">
        <is>
          <t>A6</t>
        </is>
      </c>
      <c r="B18" s="15" t="inlineStr">
        <is>
          <t>Edge — dữ liệu &amp; thời gian</t>
        </is>
      </c>
      <c r="C18" s="15" t="inlineStr">
        <is>
          <t>Số liệu theo giờ lệch số liệu ngày</t>
        </is>
      </c>
      <c r="D18" s="15" t="inlineStr">
        <is>
          <t>R20, R21</t>
        </is>
      </c>
      <c r="E18" s="15" t="inlineStr">
        <is>
          <t>Nhiễu 10% ở dữ liệu theo giờ</t>
        </is>
      </c>
      <c r="F18" s="15" t="inlineStr">
        <is>
          <t>Đo độ lệch và ảnh hưởng tới R20/R21</t>
        </is>
      </c>
      <c r="G18" s="15" t="inlineStr">
        <is>
          <t>Lệch $122.96 tổng chi tiêu; R20/R21 không đổi hệ số nào (624 lần phân tích)</t>
        </is>
      </c>
      <c r="H18" s="15" t="inlineStr">
        <is>
          <t>MEASURE</t>
        </is>
      </c>
      <c r="I18" s="29" t="inlineStr">
        <is>
          <t>ĐO ĐƯỢC</t>
        </is>
      </c>
      <c r="J18" s="15" t="inlineStr">
        <is>
          <t>scenarios/edge/A6.json</t>
        </is>
      </c>
    </row>
    <row r="19">
      <c r="A19" s="16" t="inlineStr">
        <is>
          <t>B1</t>
        </is>
      </c>
      <c r="B19" s="15" t="inlineStr">
        <is>
          <t>Edge — xung đột rule</t>
        </is>
      </c>
      <c r="C19" s="15" t="inlineStr">
        <is>
          <t>R05 cướp lượt R08 tùy ngày bắt đầu lịch</t>
        </is>
      </c>
      <c r="D19" s="15" t="inlineStr">
        <is>
          <t>R05, R08, R06</t>
        </is>
      </c>
      <c r="E19" s="15" t="inlineStr">
        <is>
          <t>Cùng dữ liệu, lịch 3 ngày bắt đầu lệch 0/1/2 ngày</t>
        </is>
      </c>
      <c r="F19" s="15" t="inlineStr">
        <is>
          <t>Ghi lại có ALERT không, ngày nào</t>
        </is>
      </c>
      <c r="G19" s="15" t="inlineStr">
        <is>
          <t>Pha 0: ALERT ngày 18; pha 1–2: R05 hạ budget ngày 18, ALERT ngày 22/23; R06 ngày 24 ở cả 3 pha → đã sửa ở v3.2 (P3)</t>
        </is>
      </c>
      <c r="H19" s="15" t="inlineStr">
        <is>
          <t>MEASURE</t>
        </is>
      </c>
      <c r="I19" s="30" t="inlineStr">
        <is>
          <t>PHÁT HIỆN</t>
        </is>
      </c>
      <c r="J19" s="15" t="inlineStr">
        <is>
          <t>scenarios/edge/B1.json</t>
        </is>
      </c>
    </row>
    <row r="20">
      <c r="A20" s="16" t="inlineStr">
        <is>
          <t>B2</t>
        </is>
      </c>
      <c r="B20" s="15" t="inlineStr">
        <is>
          <t>Edge — xung đột rule</t>
        </is>
      </c>
      <c r="C20" s="15" t="inlineStr">
        <is>
          <t>Cửa sổ bị reset liên tục làm R06 tính thiếu</t>
        </is>
      </c>
      <c r="D20" s="15" t="inlineStr">
        <is>
          <t>R06, R05</t>
        </is>
      </c>
      <c r="E20" s="15" t="inlineStr">
        <is>
          <t>Campaign 0 đơn có nhiều lần đổi budget</t>
        </is>
      </c>
      <c r="F20" s="15" t="inlineStr">
        <is>
          <t>So tiền 0 đơn theo lịch với tiền R06 nhìn thấy</t>
        </is>
      </c>
      <c r="G20" s="15" t="inlineStr">
        <is>
          <t>Đã đốt $50 theo lịch, cửa sổ R06 chỉ thấy $25 (Spend_zero $21)</t>
        </is>
      </c>
      <c r="H20" s="15" t="inlineStr">
        <is>
          <t>MEASURE</t>
        </is>
      </c>
      <c r="I20" s="30" t="inlineStr">
        <is>
          <t>PHÁT HIỆN</t>
        </is>
      </c>
      <c r="J20" s="15" t="inlineStr">
        <is>
          <t>scenarios/edge/B2.json</t>
        </is>
      </c>
    </row>
    <row r="21">
      <c r="A21" s="16" t="inlineStr">
        <is>
          <t>B3</t>
        </is>
      </c>
      <c r="B21" s="15" t="inlineStr">
        <is>
          <t>Edge — xung đột rule</t>
        </is>
      </c>
      <c r="C21" s="15" t="inlineStr">
        <is>
          <t>R09 gỡ tag khi R06B đang chờ bước 2</t>
        </is>
      </c>
      <c r="D21" s="15" t="inlineStr">
        <is>
          <t>R06B, R09</t>
        </is>
      </c>
      <c r="E21" s="15" t="inlineStr">
        <is>
          <t>Campaign lỗ hồi phục đúng lúc R06B chờ</t>
        </is>
      </c>
      <c r="F21" s="15" t="inlineStr">
        <is>
          <t>Trạng thái R06B luôn nhất quán với tag</t>
        </is>
      </c>
      <c r="G21" s="15" t="inlineStr">
        <is>
          <t>Nhất quán (R06B reset về NONE khi gỡ tag)</t>
        </is>
      </c>
      <c r="H21" s="15" t="inlineStr">
        <is>
          <t>INVARIANT</t>
        </is>
      </c>
      <c r="I21" s="28" t="inlineStr">
        <is>
          <t>PASS</t>
        </is>
      </c>
      <c r="J21" s="15" t="inlineStr">
        <is>
          <t>test/campaign.test.ts</t>
        </is>
      </c>
    </row>
    <row r="22">
      <c r="A22" s="16" t="inlineStr">
        <is>
          <t>B4</t>
        </is>
      </c>
      <c r="B22" s="15" t="inlineStr">
        <is>
          <t>Edge — xung đột rule</t>
        </is>
      </c>
      <c r="C22" s="15" t="inlineStr">
        <is>
          <t>Rule campaign và rule từ khóa cùng đổi một bid</t>
        </is>
      </c>
      <c r="D22" s="15" t="inlineStr">
        <is>
          <t>R07, R11, R12</t>
        </is>
      </c>
      <c r="E22" s="15" t="inlineStr">
        <is>
          <t>Ép cả hai cùng khớp trong một ngày</t>
        </is>
      </c>
      <c r="F22" s="15" t="inlineStr">
        <is>
          <t>Mỗi từ khóa tối đa 1 lần đổi bid/lần chạy, thay đổi ≤ ±20%</t>
        </is>
      </c>
      <c r="G22" s="15" t="inlineStr">
        <is>
          <t>Tối đa 1 lần, thay đổi lớn nhất 20%</t>
        </is>
      </c>
      <c r="H22" s="15" t="inlineStr">
        <is>
          <t>INVARIANT</t>
        </is>
      </c>
      <c r="I22" s="28" t="inlineStr">
        <is>
          <t>PASS</t>
        </is>
      </c>
      <c r="J22" s="15" t="inlineStr">
        <is>
          <t>scenarios/edge/B4.json</t>
        </is>
      </c>
    </row>
    <row r="23">
      <c r="A23" s="16" t="inlineStr">
        <is>
          <t>B5</t>
        </is>
      </c>
      <c r="B23" s="15" t="inlineStr">
        <is>
          <t>Edge — xung đột rule</t>
        </is>
      </c>
      <c r="C23" s="15" t="inlineStr">
        <is>
          <t>Từ khóa có cờ lãng phí không được tăng bid</t>
        </is>
      </c>
      <c r="D23" s="15" t="inlineStr">
        <is>
          <t>R12, R14</t>
        </is>
      </c>
      <c r="E23" s="15" t="inlineStr">
        <is>
          <t>Từ khóa 0 đơn ở sàn, ít hiển thị, 30 ngày</t>
        </is>
      </c>
      <c r="F23" s="15" t="inlineStr">
        <is>
          <t>Không bao giờ bị tăng bid</t>
        </is>
      </c>
      <c r="G23" s="15" t="inlineStr">
        <is>
          <t>0 lần tăng</t>
        </is>
      </c>
      <c r="H23" s="15" t="inlineStr">
        <is>
          <t>INVARIANT</t>
        </is>
      </c>
      <c r="I23" s="28" t="inlineStr">
        <is>
          <t>PASS</t>
        </is>
      </c>
      <c r="J23" s="15" t="inlineStr">
        <is>
          <t>scenarios/edge/B5.json</t>
        </is>
      </c>
    </row>
    <row r="24">
      <c r="A24" s="16" t="inlineStr">
        <is>
          <t>B6</t>
        </is>
      </c>
      <c r="B24" s="15" t="inlineStr">
        <is>
          <t>Edge — xung đột rule</t>
        </is>
      </c>
      <c r="C24" s="15" t="inlineStr">
        <is>
          <t>Mất bậc budget đã lưu</t>
        </is>
      </c>
      <c r="D24" s="15" t="inlineStr">
        <is>
          <t>R07, R06B, R09</t>
        </is>
      </c>
      <c r="E24" s="15" t="inlineStr">
        <is>
          <t>NORMAL $14.40 → R07 → R06B → R09</t>
        </is>
      </c>
      <c r="F24" s="15" t="inlineStr">
        <is>
          <t>R09 khôi phục về $14.40</t>
        </is>
      </c>
      <c r="G24" s="15" t="inlineStr">
        <is>
          <t>Về $14.40</t>
        </is>
      </c>
      <c r="H24" s="15" t="inlineStr">
        <is>
          <t>INVARIANT</t>
        </is>
      </c>
      <c r="I24" s="28" t="inlineStr">
        <is>
          <t>PASS</t>
        </is>
      </c>
      <c r="J24" s="15" t="inlineStr">
        <is>
          <t>test/campaign.test.ts</t>
        </is>
      </c>
    </row>
    <row r="25">
      <c r="A25" s="16" t="inlineStr">
        <is>
          <t>C1</t>
        </is>
      </c>
      <c r="B25" s="15" t="inlineStr">
        <is>
          <t>Edge — bid</t>
        </is>
      </c>
      <c r="C25" s="15" t="inlineStr">
        <is>
          <t>Bid giảm chồng nhiều lớp</t>
        </is>
      </c>
      <c r="D25" s="15" t="inlineStr">
        <is>
          <t>R07, R11, R12, R20</t>
        </is>
      </c>
      <c r="E25" s="15" t="inlineStr">
        <is>
          <t>Các rule giảm bid cùng tác động</t>
        </is>
      </c>
      <c r="F25" s="15" t="inlineStr">
        <is>
          <t>Bid gửi lên ≥ $0.20 mọi giờ</t>
        </is>
      </c>
      <c r="G25" s="15" t="inlineStr">
        <is>
          <t>Đúng; base bid thấp nhất $0.46</t>
        </is>
      </c>
      <c r="H25" s="15" t="inlineStr">
        <is>
          <t>INVARIANT</t>
        </is>
      </c>
      <c r="I25" s="28" t="inlineStr">
        <is>
          <t>PASS</t>
        </is>
      </c>
      <c r="J25" s="15" t="inlineStr">
        <is>
          <t>scenarios/edge/C1.json</t>
        </is>
      </c>
    </row>
    <row r="26">
      <c r="A26" s="16" t="inlineStr">
        <is>
          <t>C2</t>
        </is>
      </c>
      <c r="B26" s="15" t="inlineStr">
        <is>
          <t>Edge — bid</t>
        </is>
      </c>
      <c r="C26" s="15" t="inlineStr">
        <is>
          <t>Từ khóa đứng im (vòng xoáy chết)</t>
        </is>
      </c>
      <c r="D26" s="15" t="inlineStr">
        <is>
          <t>R10–R14</t>
        </is>
      </c>
      <c r="E26" s="15" t="inlineStr">
        <is>
          <t>60 ngày full-account</t>
        </is>
      </c>
      <c r="F26" s="15" t="inlineStr">
        <is>
          <t>Liệt kê từ khóa không đổi bid &gt; 30 ngày</t>
        </is>
      </c>
      <c r="G26" s="15" t="inlineStr">
        <is>
          <t>3 từ khóa đứng im &gt; 30 ngày</t>
        </is>
      </c>
      <c r="H26" s="15" t="inlineStr">
        <is>
          <t>MEASURE</t>
        </is>
      </c>
      <c r="I26" s="29" t="inlineStr">
        <is>
          <t>ĐO ĐƯỢC</t>
        </is>
      </c>
      <c r="J26" s="15" t="inlineStr">
        <is>
          <t>scenarios/edge/C2.json</t>
        </is>
      </c>
    </row>
    <row r="27">
      <c r="A27" s="16" t="inlineStr">
        <is>
          <t>C3</t>
        </is>
      </c>
      <c r="B27" s="15" t="inlineStr">
        <is>
          <t>Edge — bid</t>
        </is>
      </c>
      <c r="C27" s="15" t="inlineStr">
        <is>
          <t>5 chu kỳ MANAGE ↔ NORMAL</t>
        </is>
      </c>
      <c r="D27" s="15" t="inlineStr">
        <is>
          <t>R07, R09</t>
        </is>
      </c>
      <c r="E27" s="15" t="inlineStr">
        <is>
          <t>Gắn/gỡ tag 5 lần</t>
        </is>
      </c>
      <c r="F27" s="15" t="inlineStr">
        <is>
          <t>Sai số khôi phục bid ≤ $0.01</t>
        </is>
      </c>
      <c r="G27" s="15" t="inlineStr">
        <is>
          <t>Đạt</t>
        </is>
      </c>
      <c r="H27" s="15" t="inlineStr">
        <is>
          <t>INVARIANT</t>
        </is>
      </c>
      <c r="I27" s="28" t="inlineStr">
        <is>
          <t>PASS</t>
        </is>
      </c>
      <c r="J27" s="15" t="inlineStr">
        <is>
          <t>test/edge-cycle.test.ts</t>
        </is>
      </c>
    </row>
    <row r="28">
      <c r="A28" s="16" t="inlineStr">
        <is>
          <t>C4</t>
        </is>
      </c>
      <c r="B28" s="15" t="inlineStr">
        <is>
          <t>Edge — bid</t>
        </is>
      </c>
      <c r="C28" s="15" t="inlineStr">
        <is>
          <t>Khoảng bid hợp lệ rỗng</t>
        </is>
      </c>
      <c r="D28" s="15" t="inlineStr">
        <is>
          <t>G6</t>
        </is>
      </c>
      <c r="E28" s="15" t="inlineStr">
        <is>
          <t>Đổi giá bán giữa chừng làm Bid_max &lt; 0.5×anchor</t>
        </is>
      </c>
      <c r="F28" s="15" t="inlineStr">
        <is>
          <t>Không crash, không gửi bid ngoài [$0.20, Bid_max], có cảnh báo</t>
        </is>
      </c>
      <c r="G28" s="15" t="inlineStr">
        <is>
          <t>Đạt</t>
        </is>
      </c>
      <c r="H28" s="15" t="inlineStr">
        <is>
          <t>INVARIANT</t>
        </is>
      </c>
      <c r="I28" s="28" t="inlineStr">
        <is>
          <t>PASS</t>
        </is>
      </c>
      <c r="J28" s="15" t="inlineStr">
        <is>
          <t>test/account-loop.test.ts</t>
        </is>
      </c>
    </row>
    <row r="29">
      <c r="A29" s="16" t="inlineStr">
        <is>
          <t>C5</t>
        </is>
      </c>
      <c r="B29" s="15" t="inlineStr">
        <is>
          <t>Edge — bid</t>
        </is>
      </c>
      <c r="C29" s="15" t="inlineStr">
        <is>
          <t>Trần Top of Search bị vượt sau đó</t>
        </is>
      </c>
      <c r="D29" s="15" t="inlineStr">
        <is>
          <t>R18, R10, R21</t>
        </is>
      </c>
      <c r="E29" s="15" t="inlineStr">
        <is>
          <t>R18 tăng ToS rồi R10 và R21 tăng bid</t>
        </is>
      </c>
      <c r="F29" s="15" t="inlineStr">
        <is>
          <t>Trần 1.5×Bid_max không bị vượt</t>
        </is>
      </c>
      <c r="G29" s="15" t="inlineStr">
        <is>
          <t>Đạt; R18 từ chối khi hết chỗ</t>
        </is>
      </c>
      <c r="H29" s="15" t="inlineStr">
        <is>
          <t>INVARIANT</t>
        </is>
      </c>
      <c r="I29" s="28" t="inlineStr">
        <is>
          <t>PASS</t>
        </is>
      </c>
      <c r="J29" s="15" t="inlineStr">
        <is>
          <t>test/placement.test.ts</t>
        </is>
      </c>
    </row>
    <row r="30">
      <c r="A30" s="16" t="inlineStr">
        <is>
          <t>D1</t>
        </is>
      </c>
      <c r="B30" s="15" t="inlineStr">
        <is>
          <t>Edge — thống kê</t>
        </is>
      </c>
      <c r="C30" s="15" t="inlineStr">
        <is>
          <t>Ít đơn, ACoS dao động</t>
        </is>
      </c>
      <c r="D30" s="15" t="inlineStr">
        <is>
          <t>R02–R05, R10, R11</t>
        </is>
      </c>
      <c r="E30" s="15" t="inlineStr">
        <is>
          <t>100 impression/ngày, CTR 2%</t>
        </is>
      </c>
      <c r="F30" s="15" t="inlineStr">
        <is>
          <t>Đo số lần đảo chiều budget/bid</t>
        </is>
      </c>
      <c r="G30" s="15" t="inlineStr">
        <is>
          <t>Budget 2 lần, bid 3 lần / 30 ngày (20 đơn)</t>
        </is>
      </c>
      <c r="H30" s="15" t="inlineStr">
        <is>
          <t>MEASURE</t>
        </is>
      </c>
      <c r="I30" s="29" t="inlineStr">
        <is>
          <t>ĐO ĐƯỢC</t>
        </is>
      </c>
      <c r="J30" s="15" t="inlineStr">
        <is>
          <t>scenarios/edge/D1.json</t>
        </is>
      </c>
    </row>
    <row r="31">
      <c r="A31" s="16" t="inlineStr">
        <is>
          <t>D2</t>
        </is>
      </c>
      <c r="B31" s="15" t="inlineStr">
        <is>
          <t>Edge — thống kê</t>
        </is>
      </c>
      <c r="C31" s="15" t="inlineStr">
        <is>
          <t>ACoS nền chụp lúc gặp may</t>
        </is>
      </c>
      <c r="D31" s="15" t="inlineStr">
        <is>
          <t>R07</t>
        </is>
      </c>
      <c r="E31" s="15" t="inlineStr">
        <is>
          <t>Ghi baseline trong giai đoạn ACoS thấp bất thường</t>
        </is>
      </c>
      <c r="F31" s="15" t="inlineStr">
        <is>
          <t>Đếm R07 gắn tag oan</t>
        </is>
      </c>
      <c r="G31" s="15" t="inlineStr">
        <is>
          <t>1 lần R07 mà 14 ngày sau ACoS thật 19.4% &lt; T_win 28%</t>
        </is>
      </c>
      <c r="H31" s="15" t="inlineStr">
        <is>
          <t>MEASURE</t>
        </is>
      </c>
      <c r="I31" s="30" t="inlineStr">
        <is>
          <t>PHÁT HIỆN</t>
        </is>
      </c>
      <c r="J31" s="15" t="inlineStr">
        <is>
          <t>scenarios/edge/D2.json</t>
        </is>
      </c>
    </row>
    <row r="32">
      <c r="A32" s="16" t="inlineStr">
        <is>
          <t>D3</t>
        </is>
      </c>
      <c r="B32" s="15" t="inlineStr">
        <is>
          <t>Edge — thống kê</t>
        </is>
      </c>
      <c r="C32" s="15" t="inlineStr">
        <is>
          <t>Chia cho 0 / ACoS vô cực</t>
        </is>
      </c>
      <c r="D32" s="15" t="inlineStr">
        <is>
          <t>R11, R18, R19</t>
        </is>
      </c>
      <c r="E32" s="15" t="inlineStr">
        <is>
          <t>Đơn có doanh số $0; CVR phần còn lại = 0</t>
        </is>
      </c>
      <c r="F32" s="15" t="inlineStr">
        <is>
          <t>Không rule nào khớp chỉ vì phép chia cho 0</t>
        </is>
      </c>
      <c r="G32" s="15" t="inlineStr">
        <is>
          <t>Đạt</t>
        </is>
      </c>
      <c r="H32" s="15" t="inlineStr">
        <is>
          <t>INVARIANT</t>
        </is>
      </c>
      <c r="I32" s="28" t="inlineStr">
        <is>
          <t>PASS</t>
        </is>
      </c>
      <c r="J32" s="15" t="inlineStr">
        <is>
          <t>test/placement.test.ts</t>
        </is>
      </c>
    </row>
    <row r="33">
      <c r="A33" s="16" t="inlineStr">
        <is>
          <t>E1</t>
        </is>
      </c>
      <c r="B33" s="15" t="inlineStr">
        <is>
          <t>Edge — API &amp; vận hành</t>
        </is>
      </c>
      <c r="C33" s="15" t="inlineStr">
        <is>
          <t>Harvest không atomic</t>
        </is>
      </c>
      <c r="D33" s="15" t="inlineStr">
        <is>
          <t>R15</t>
        </is>
      </c>
      <c r="E33" s="15" t="inlineStr">
        <is>
          <t>Tạo Exact lỗi hoặc chưa đọc lại được</t>
        </is>
      </c>
      <c r="F33" s="15" t="inlineStr">
        <is>
          <t>Không thêm negative nguồn khi Exact chưa xác minh</t>
        </is>
      </c>
      <c r="G33" s="15" t="inlineStr">
        <is>
          <t>Đạt; quá 7 ngày thì báo và không thêm negative</t>
        </is>
      </c>
      <c r="H33" s="15" t="inlineStr">
        <is>
          <t>INVARIANT</t>
        </is>
      </c>
      <c r="I33" s="28" t="inlineStr">
        <is>
          <t>PASS</t>
        </is>
      </c>
      <c r="J33" s="15" t="inlineStr">
        <is>
          <t>test/account-harvest.test.ts</t>
        </is>
      </c>
    </row>
    <row r="34">
      <c r="A34" s="16" t="inlineStr">
        <is>
          <t>E2</t>
        </is>
      </c>
      <c r="B34" s="15" t="inlineStr">
        <is>
          <t>Edge — API &amp; vận hành</t>
        </is>
      </c>
      <c r="C34" s="15" t="inlineStr">
        <is>
          <t>Crash giữa chừng rồi chạy lại</t>
        </is>
      </c>
      <c r="D34" s="15" t="inlineStr">
        <is>
          <t>Tất cả</t>
        </is>
      </c>
      <c r="E34" s="15" t="inlineStr">
        <is>
          <t>Crash sau 1, 2, 5, nửa, gần hết số lệnh ghi</t>
        </is>
      </c>
      <c r="F34" s="15" t="inlineStr">
        <is>
          <t>Kết quả giống hệt chạy một lần; không áp dụng 2 lần</t>
        </is>
      </c>
      <c r="G34" s="15" t="inlineStr">
        <is>
          <t>Đạt (R12 ×0.8 chỉ áp 1 lần)</t>
        </is>
      </c>
      <c r="H34" s="15" t="inlineStr">
        <is>
          <t>INVARIANT</t>
        </is>
      </c>
      <c r="I34" s="28" t="inlineStr">
        <is>
          <t>PASS</t>
        </is>
      </c>
      <c r="J34" s="15" t="inlineStr">
        <is>
          <t>test/crash.test.ts</t>
        </is>
      </c>
    </row>
    <row r="35">
      <c r="A35" s="16" t="inlineStr">
        <is>
          <t>E3</t>
        </is>
      </c>
      <c r="B35" s="15" t="inlineStr">
        <is>
          <t>Edge — API &amp; vận hành</t>
        </is>
      </c>
      <c r="C35" s="15" t="inlineStr">
        <is>
          <t>Đọc lại thấy giá trị cũ</t>
        </is>
      </c>
      <c r="D35" s="15" t="inlineStr">
        <is>
          <t>Tất cả</t>
        </is>
      </c>
      <c r="E35" s="15" t="inlineStr">
        <is>
          <t>API trả giá trị cũ 30 phút sau khi ghi</t>
        </is>
      </c>
      <c r="F35" s="15" t="inlineStr">
        <is>
          <t>Không áp lại thay đổi</t>
        </is>
      </c>
      <c r="G35" s="15" t="inlineStr">
        <is>
          <t>Đạt</t>
        </is>
      </c>
      <c r="H35" s="15" t="inlineStr">
        <is>
          <t>INVARIANT</t>
        </is>
      </c>
      <c r="I35" s="28" t="inlineStr">
        <is>
          <t>PASS</t>
        </is>
      </c>
      <c r="J35" s="15" t="inlineStr">
        <is>
          <t>test/reconcile.test.ts</t>
        </is>
      </c>
    </row>
    <row r="36">
      <c r="A36" s="16" t="inlineStr">
        <is>
          <t>E4</t>
        </is>
      </c>
      <c r="B36" s="15" t="inlineStr">
        <is>
          <t>Edge — API &amp; vận hành</t>
        </is>
      </c>
      <c r="C36" s="15" t="inlineStr">
        <is>
          <t>Người dùng sửa tay trên console</t>
        </is>
      </c>
      <c r="D36" s="15" t="inlineStr">
        <is>
          <t>R01, tất cả</t>
        </is>
      </c>
      <c r="E36" s="15" t="inlineStr">
        <is>
          <t>Sửa bid/budget/status trên console</t>
        </is>
      </c>
      <c r="F36" s="15" t="inlineStr">
        <is>
          <t>Phát hiện lệch; PAUSED_AUTO không tự bật lại</t>
        </is>
      </c>
      <c r="G36" s="15" t="inlineStr">
        <is>
          <t>Đạt</t>
        </is>
      </c>
      <c r="H36" s="15" t="inlineStr">
        <is>
          <t>INVARIANT</t>
        </is>
      </c>
      <c r="I36" s="28" t="inlineStr">
        <is>
          <t>PASS</t>
        </is>
      </c>
      <c r="J36" s="15" t="inlineStr">
        <is>
          <t>test/reconcile.test.ts</t>
        </is>
      </c>
    </row>
    <row r="37">
      <c r="A37" s="16" t="inlineStr">
        <is>
          <t>E5</t>
        </is>
      </c>
      <c r="B37" s="15" t="inlineStr">
        <is>
          <t>Edge — API &amp; vận hành</t>
        </is>
      </c>
      <c r="C37" s="15" t="inlineStr">
        <is>
          <t>Tag kép, keyword/negative trùng</t>
        </is>
      </c>
      <c r="D37" s="15" t="inlineStr">
        <is>
          <t>G7, R15–R17</t>
        </is>
      </c>
      <c r="E37" s="15" t="inlineStr">
        <is>
          <t>Tên campaign bẩn, keyword khác hoa thường</t>
        </is>
      </c>
      <c r="F37" s="15" t="inlineStr">
        <is>
          <t>0 tag kép, 0 bản trùng</t>
        </is>
      </c>
      <c r="G37" s="15" t="inlineStr">
        <is>
          <t>Đạt (5 keyword, 2 negative, không trùng)</t>
        </is>
      </c>
      <c r="H37" s="15" t="inlineStr">
        <is>
          <t>INVARIANT</t>
        </is>
      </c>
      <c r="I37" s="28" t="inlineStr">
        <is>
          <t>PASS</t>
        </is>
      </c>
      <c r="J37" s="15" t="inlineStr">
        <is>
          <t>scenarios/edge/E5.json</t>
        </is>
      </c>
    </row>
    <row r="38">
      <c r="A38" s="16" t="inlineStr">
        <is>
          <t>E6</t>
        </is>
      </c>
      <c r="B38" s="15" t="inlineStr">
        <is>
          <t>Edge — API &amp; vận hành</t>
        </is>
      </c>
      <c r="C38" s="15" t="inlineStr">
        <is>
          <t>Harvest làm campaign nguồn mất đơn</t>
        </is>
      </c>
      <c r="D38" s="15" t="inlineStr">
        <is>
          <t>R15, R06</t>
        </is>
      </c>
      <c r="E38" s="15" t="inlineStr">
        <is>
          <t>1 Auto + 1 Manual cùng ASIN</t>
        </is>
      </c>
      <c r="F38" s="15" t="inlineStr">
        <is>
          <t>Đo đơn/chi tiêu nguồn trước và sau harvest</t>
        </is>
      </c>
      <c r="G38" s="15" t="inlineStr">
        <is>
          <t>Trước: 11 đơn/$14.23; sau: 4 đơn/$28.19; R06 pause nguồn ngày 8 → đã sửa ở v3.2 (P4)</t>
        </is>
      </c>
      <c r="H38" s="15" t="inlineStr">
        <is>
          <t>MEASURE</t>
        </is>
      </c>
      <c r="I38" s="30" t="inlineStr">
        <is>
          <t>PHÁT HIỆN</t>
        </is>
      </c>
      <c r="J38" s="15" t="inlineStr">
        <is>
          <t>scenarios/edge/E6.json</t>
        </is>
      </c>
    </row>
    <row r="39">
      <c r="A39" s="16" t="inlineStr">
        <is>
          <t>CHAOS</t>
        </is>
      </c>
      <c r="B39" s="15" t="inlineStr">
        <is>
          <t>Edge — tổng hợp</t>
        </is>
      </c>
      <c r="C39" s="15" t="inlineStr">
        <is>
          <t>Account hỗn loạn 60 ngày</t>
        </is>
      </c>
      <c r="D39" s="15" t="inlineStr">
        <is>
          <t>Tất cả</t>
        </is>
      </c>
      <c r="E39" s="15" t="inlineStr">
        <is>
          <t>Lỗi 429 10%, lỗi 5xx 5%, batch lỗi một phần 10%, đọc cũ 30 phút, 2 lần sửa tay, 1 lần đổi giá</t>
        </is>
      </c>
      <c r="F39" s="15" t="inlineStr">
        <is>
          <t>Không crash, mọi bất biến đúng</t>
        </is>
      </c>
      <c r="G39" s="15" t="inlineStr">
        <is>
          <t>Đạt</t>
        </is>
      </c>
      <c r="H39" s="15" t="inlineStr">
        <is>
          <t>INVARIANT</t>
        </is>
      </c>
      <c r="I39" s="28" t="inlineStr">
        <is>
          <t>PASS</t>
        </is>
      </c>
      <c r="J39" s="15" t="inlineStr">
        <is>
          <t>scenarios/edge/chaos-account.json</t>
        </is>
      </c>
    </row>
    <row r="40">
      <c r="A40" s="16" t="inlineStr">
        <is>
          <t>CTRL-1</t>
        </is>
      </c>
      <c r="B40" s="15" t="inlineStr">
        <is>
          <t>Đối chứng đo lường</t>
        </is>
      </c>
      <c r="C40" s="15" t="inlineStr">
        <is>
          <t>Phát hiện quyết định sớm (đối chứng dương)</t>
        </is>
      </c>
      <c r="D40" s="15" t="inlineStr">
        <is>
          <t>R06, R12</t>
        </is>
      </c>
      <c r="E40" s="15" t="inlineStr">
        <is>
          <t>CVR thật 4%, đơn trễ 3–7 ngày</t>
        </is>
      </c>
      <c r="F40" s="15" t="inlineStr">
        <is>
          <t>Simulator phải bắt được quyết định "0 đơn" sai</t>
        </is>
      </c>
      <c r="G40" s="15" t="inlineStr">
        <is>
          <t>Bắt được 2: R12 ngày 05/10 (sau đó có 3 đơn), R06 ngày 07/10 (sau đó có 4 đơn); không trễ thì 0</t>
        </is>
      </c>
      <c r="H40" s="15" t="inlineStr">
        <is>
          <t>INVARIANT</t>
        </is>
      </c>
      <c r="I40" s="28" t="inlineStr">
        <is>
          <t>PASS</t>
        </is>
      </c>
      <c r="J40" s="15" t="inlineStr">
        <is>
          <t>scenarios/edge/premature-positive.json</t>
        </is>
      </c>
    </row>
    <row r="41">
      <c r="A41" s="16" t="inlineStr">
        <is>
          <t>CTRL-2</t>
        </is>
      </c>
      <c r="B41" s="15" t="inlineStr">
        <is>
          <t>Đối chứng đo lường</t>
        </is>
      </c>
      <c r="C41" s="15" t="inlineStr">
        <is>
          <t>Rule theo giờ hoạt động</t>
        </is>
      </c>
      <c r="D41" s="15" t="inlineStr">
        <is>
          <t>R20, R21, R21B</t>
        </is>
      </c>
      <c r="E41" s="15" t="inlineStr">
        <is>
          <t>Giờ 00 CVR 3%, giờ 01 CVR 45%, 100 ngày</t>
        </is>
      </c>
      <c r="F41" s="15" t="inlineStr">
        <is>
          <t>R20 và R21 đều chạy; R21B 1 lệnh/ranh giới</t>
        </is>
      </c>
      <c r="G41" s="15" t="inlineStr">
        <is>
          <t>R20 34 lần, R21 33 lần, R21B 626 lệnh, 0 trùng</t>
        </is>
      </c>
      <c r="H41" s="15" t="inlineStr">
        <is>
          <t>INVARIANT</t>
        </is>
      </c>
      <c r="I41" s="28" t="inlineStr">
        <is>
          <t>PASS</t>
        </is>
      </c>
      <c r="J41" s="15" t="inlineStr">
        <is>
          <t>scenarios/edge/hourly-signal.json</t>
        </is>
      </c>
    </row>
    <row r="43">
      <c r="A43" s="7">
        <f>COUNTA(A5:A41)</f>
        <v/>
      </c>
      <c r="B43" s="8" t="inlineStr">
        <is>
          <t>← tổng số test case</t>
        </is>
      </c>
    </row>
  </sheetData>
  <autoFilter ref="A4:J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0" customWidth="1" min="3" max="3"/>
    <col width="11" customWidth="1" min="4" max="4"/>
    <col width="14" customWidth="1" min="5" max="5"/>
  </cols>
  <sheetData>
    <row r="1">
      <c r="A1" s="1" t="inlineStr">
        <is>
          <t>Toàn bộ unit test của simulator (342 test)</t>
        </is>
      </c>
    </row>
    <row r="2">
      <c r="A2" s="2" t="inlineStr">
        <is>
          <t>Xuất từ `npx vitest run --reporter=json` ngày 21/10/2026.</t>
        </is>
      </c>
    </row>
    <row r="4">
      <c r="A4" s="14" t="inlineStr">
        <is>
          <t>File</t>
        </is>
      </c>
      <c r="B4" s="14" t="inlineStr">
        <is>
          <t>Nhóm (describe)</t>
        </is>
      </c>
      <c r="C4" s="14" t="inlineStr">
        <is>
          <t>Tên test</t>
        </is>
      </c>
      <c r="D4" s="14" t="inlineStr">
        <is>
          <t>Trạng thái</t>
        </is>
      </c>
      <c r="E4" s="14" t="inlineStr">
        <is>
          <t>Thời gian (ms)</t>
        </is>
      </c>
    </row>
    <row r="5">
      <c r="A5" s="15" t="inlineStr">
        <is>
          <t>test/account-cli.test.ts</t>
        </is>
      </c>
      <c r="B5" s="15" t="inlineStr">
        <is>
          <t>—</t>
        </is>
      </c>
      <c r="C5" s="15" t="inlineStr">
        <is>
          <t>CLI --rules all writes account artifacts and target summary</t>
        </is>
      </c>
      <c r="D5" s="28" t="inlineStr">
        <is>
          <t>PASS</t>
        </is>
      </c>
      <c r="E5" s="31" t="n">
        <v>3977.8</v>
      </c>
    </row>
    <row r="6">
      <c r="A6" s="15" t="inlineStr">
        <is>
          <t>test/account-edges.test.ts</t>
        </is>
      </c>
      <c r="B6" s="15" t="inlineStr">
        <is>
          <t>—</t>
        </is>
      </c>
      <c r="C6" s="15" t="inlineStr">
        <is>
          <t>B4 R07 wins same day, R11 skipped then runs on next eligible date; error policy diagnostic</t>
        </is>
      </c>
      <c r="D6" s="28" t="inlineStr">
        <is>
          <t>PASS</t>
        </is>
      </c>
      <c r="E6" s="31" t="n">
        <v>61.5</v>
      </c>
    </row>
    <row r="7">
      <c r="A7" s="15" t="inlineStr">
        <is>
          <t>test/account-edges.test.ts</t>
        </is>
      </c>
      <c r="B7" s="15" t="inlineStr">
        <is>
          <t>—</t>
        </is>
      </c>
      <c r="C7" s="15" t="inlineStr">
        <is>
          <t>B5 waste floor is never raised by R14 during thirty days</t>
        </is>
      </c>
      <c r="D7" s="28" t="inlineStr">
        <is>
          <t>PASS</t>
        </is>
      </c>
      <c r="E7" s="31" t="n">
        <v>149</v>
      </c>
    </row>
    <row r="8">
      <c r="A8" s="15" t="inlineStr">
        <is>
          <t>test/account-harvest.test.ts</t>
        </is>
      </c>
      <c r="B8" s="15" t="inlineStr">
        <is>
          <t>—</t>
        </is>
      </c>
      <c r="C8" s="15" t="inlineStr">
        <is>
          <t>E1 api-chaos invisible creation 20000 minutes: verifies exactly once or times out</t>
        </is>
      </c>
      <c r="D8" s="28" t="inlineStr">
        <is>
          <t>PASS</t>
        </is>
      </c>
      <c r="E8" s="31" t="n">
        <v>1464.6</v>
      </c>
    </row>
    <row r="9">
      <c r="A9" s="15" t="inlineStr">
        <is>
          <t>test/account-harvest.test.ts</t>
        </is>
      </c>
      <c r="B9" s="15" t="inlineStr">
        <is>
          <t>—</t>
        </is>
      </c>
      <c r="C9" s="15" t="inlineStr">
        <is>
          <t>E1 api-chaos invisible creation 5 minutes: verifies exactly once or times out</t>
        </is>
      </c>
      <c r="D9" s="28" t="inlineStr">
        <is>
          <t>PASS</t>
        </is>
      </c>
      <c r="E9" s="31" t="n">
        <v>2156.9</v>
      </c>
    </row>
    <row r="10">
      <c r="A10" s="15" t="inlineStr">
        <is>
          <t>test/account-harvest.test.ts</t>
        </is>
      </c>
      <c r="B10" s="15" t="inlineStr">
        <is>
          <t>—</t>
        </is>
      </c>
      <c r="C10" s="15" t="inlineStr">
        <is>
          <t>E1 failed create leaves no pending state and no negative</t>
        </is>
      </c>
      <c r="D10" s="28" t="inlineStr">
        <is>
          <t>PASS</t>
        </is>
      </c>
      <c r="E10" s="31" t="n">
        <v>290.7</v>
      </c>
    </row>
    <row r="11">
      <c r="A11" s="15" t="inlineStr">
        <is>
          <t>test/account-loop.test.ts</t>
        </is>
      </c>
      <c r="B11" s="15" t="inlineStr">
        <is>
          <t>—</t>
        </is>
      </c>
      <c r="C11" s="15" t="inlineStr">
        <is>
          <t>C4 product price drop below half anchor uses G6 and never sends outside new hard bounds</t>
        </is>
      </c>
      <c r="D11" s="28" t="inlineStr">
        <is>
          <t>PASS</t>
        </is>
      </c>
      <c r="E11" s="31" t="n">
        <v>192.7</v>
      </c>
    </row>
    <row r="12">
      <c r="A12" s="15" t="inlineStr">
        <is>
          <t>test/account-loop.test.ts</t>
        </is>
      </c>
      <c r="B12" s="15" t="inlineStr">
        <is>
          <t>—</t>
        </is>
      </c>
      <c r="C12" s="15" t="inlineStr">
        <is>
          <t>golden zero-order target: day 5 R12, day 7 R13 with hand-computed samples</t>
        </is>
      </c>
      <c r="D12" s="28" t="inlineStr">
        <is>
          <t>PASS</t>
        </is>
      </c>
      <c r="E12" s="31" t="n">
        <v>1272.4</v>
      </c>
    </row>
    <row r="13">
      <c r="A13" s="15" t="inlineStr">
        <is>
          <t>test/account-loop.test.ts</t>
        </is>
      </c>
      <c r="B13" s="15" t="inlineStr">
        <is>
          <t>—</t>
        </is>
      </c>
      <c r="C13" s="15" t="inlineStr">
        <is>
          <t>manual bid edits go through console reconciliation and emit drift</t>
        </is>
      </c>
      <c r="D13" s="28" t="inlineStr">
        <is>
          <t>PASS</t>
        </is>
      </c>
      <c r="E13" s="31" t="n">
        <v>61</v>
      </c>
    </row>
    <row r="14">
      <c r="A14" s="15" t="inlineStr">
        <is>
          <t>test/account-loop.test.ts</t>
        </is>
      </c>
      <c r="B14" s="15" t="inlineStr">
        <is>
          <t>—</t>
        </is>
      </c>
      <c r="C14" s="15" t="inlineStr">
        <is>
          <t>target invariant checks every hourly bid and normalized duplicates</t>
        </is>
      </c>
      <c r="D14" s="28" t="inlineStr">
        <is>
          <t>PASS</t>
        </is>
      </c>
      <c r="E14" s="31" t="n">
        <v>7.8</v>
      </c>
    </row>
    <row r="15">
      <c r="A15" s="15" t="inlineStr">
        <is>
          <t>test/account-market.test.ts</t>
        </is>
      </c>
      <c r="B15" s="15" t="inlineStr">
        <is>
          <t>—</t>
        </is>
      </c>
      <c r="C15" s="15" t="inlineStr">
        <is>
          <t>ScriptedMarket supports exact per-target placements, terms and hourly distribution</t>
        </is>
      </c>
      <c r="D15" s="28" t="inlineStr">
        <is>
          <t>PASS</t>
        </is>
      </c>
      <c r="E15" s="31" t="n">
        <v>123.4</v>
      </c>
    </row>
    <row r="16">
      <c r="A16" s="15" t="inlineStr">
        <is>
          <t>test/account-market.test.ts</t>
        </is>
      </c>
      <c r="B16" s="15" t="inlineStr">
        <is>
          <t>—</t>
        </is>
      </c>
      <c r="C16" s="15" t="inlineStr">
        <is>
          <t>campaign negative removes the matching share across all targets</t>
        </is>
      </c>
      <c r="D16" s="28" t="inlineStr">
        <is>
          <t>PASS</t>
        </is>
      </c>
      <c r="E16" s="31" t="n">
        <v>4.6</v>
      </c>
    </row>
    <row r="17">
      <c r="A17" s="15" t="inlineStr">
        <is>
          <t>test/account-market.test.ts</t>
        </is>
      </c>
      <c r="B17" s="15" t="inlineStr">
        <is>
          <t>—</t>
        </is>
      </c>
      <c r="C17" s="15" t="inlineStr">
        <is>
          <t>dynamic harvested target publishes normalized search facts without scenario registration</t>
        </is>
      </c>
      <c r="D17" s="28" t="inlineStr">
        <is>
          <t>PASS</t>
        </is>
      </c>
      <c r="E17" s="31" t="n">
        <v>24.1</v>
      </c>
    </row>
    <row r="18">
      <c r="A18" s="15" t="inlineStr">
        <is>
          <t>test/account-market.test.ts</t>
        </is>
      </c>
      <c r="B18" s="15" t="inlineStr">
        <is>
          <t>—</t>
        </is>
      </c>
      <c r="C18" s="15" t="inlineStr">
        <is>
          <t>harvested truth uses the source term share and CVR</t>
        </is>
      </c>
      <c r="D18" s="28" t="inlineStr">
        <is>
          <t>PASS</t>
        </is>
      </c>
      <c r="E18" s="31" t="n">
        <v>23</v>
      </c>
    </row>
    <row r="19">
      <c r="A19" s="15" t="inlineStr">
        <is>
          <t>test/api.test.ts</t>
        </is>
      </c>
      <c r="B19" s="15" t="inlineStr">
        <is>
          <t>—</t>
        </is>
      </c>
      <c r="C19" s="15" t="inlineStr">
        <is>
          <t>G7 normalizes tag text and never lowers ALERT severity</t>
        </is>
      </c>
      <c r="D19" s="28" t="inlineStr">
        <is>
          <t>PASS</t>
        </is>
      </c>
      <c r="E19" s="31" t="n">
        <v>1.6</v>
      </c>
    </row>
    <row r="20">
      <c r="A20" s="15" t="inlineStr">
        <is>
          <t>test/api.test.ts</t>
        </is>
      </c>
      <c r="B20" s="15" t="inlineStr">
        <is>
          <t>—</t>
        </is>
      </c>
      <c r="C20" s="15" t="inlineStr">
        <is>
          <t>G7 rejects duplicate creations and wrong endpoint, replays idempotently</t>
        </is>
      </c>
      <c r="D20" s="28" t="inlineStr">
        <is>
          <t>PASS</t>
        </is>
      </c>
      <c r="E20" s="31" t="n">
        <v>4.2</v>
      </c>
    </row>
    <row r="21">
      <c r="A21" s="15" t="inlineStr">
        <is>
          <t>test/api.test.ts</t>
        </is>
      </c>
      <c r="B21" s="15" t="inlineStr">
        <is>
          <t>—</t>
        </is>
      </c>
      <c r="C21" s="15" t="inlineStr">
        <is>
          <t>G7 scopes idempotency to each operation and requires keys on reads</t>
        </is>
      </c>
      <c r="D21" s="28" t="inlineStr">
        <is>
          <t>PASS</t>
        </is>
      </c>
      <c r="E21" s="31" t="n">
        <v>2</v>
      </c>
    </row>
    <row r="22">
      <c r="A22" s="15" t="inlineStr">
        <is>
          <t>test/api.test.ts</t>
        </is>
      </c>
      <c r="B22" s="15" t="inlineStr">
        <is>
          <t>—</t>
        </is>
      </c>
      <c r="C22" s="15" t="inlineStr">
        <is>
          <t>G7 validates whole batches atomically and rejects changed idempotent payloads</t>
        </is>
      </c>
      <c r="D22" s="28" t="inlineStr">
        <is>
          <t>PASS</t>
        </is>
      </c>
      <c r="E22" s="31" t="n">
        <v>1.5</v>
      </c>
    </row>
    <row r="23">
      <c r="A23" s="15" t="inlineStr">
        <is>
          <t>test/api.test.ts</t>
        </is>
      </c>
      <c r="B23" s="15" t="inlineStr">
        <is>
          <t>—</t>
        </is>
      </c>
      <c r="C23" s="15" t="inlineStr">
        <is>
          <t>returns a result for every valid batch element including idempotent replay</t>
        </is>
      </c>
      <c r="D23" s="28" t="inlineStr">
        <is>
          <t>PASS</t>
        </is>
      </c>
      <c r="E23" s="31" t="n">
        <v>1.1</v>
      </c>
    </row>
    <row r="24">
      <c r="A24" s="15" t="inlineStr">
        <is>
          <t>test/audit-compact.test.ts</t>
        </is>
      </c>
      <c r="B24" s="15" t="inlineStr">
        <is>
          <t>—</t>
        </is>
      </c>
      <c r="C24" s="15" t="inlineStr">
        <is>
          <t>audit iterators preserve event order and JSONL</t>
        </is>
      </c>
      <c r="D24" s="28" t="inlineStr">
        <is>
          <t>PASS</t>
        </is>
      </c>
      <c r="E24" s="31" t="n">
        <v>15.1</v>
      </c>
    </row>
    <row r="25">
      <c r="A25" s="15" t="inlineStr">
        <is>
          <t>test/audit-compact.test.ts</t>
        </is>
      </c>
      <c r="B25" s="15" t="inlineStr">
        <is>
          <t>—</t>
        </is>
      </c>
      <c r="C25" s="15" t="inlineStr">
        <is>
          <t>audit stores changed fields and only reads for the evaluated rule</t>
        </is>
      </c>
      <c r="D25" s="28" t="inlineStr">
        <is>
          <t>PASS</t>
        </is>
      </c>
      <c r="E25" s="31" t="n">
        <v>34</v>
      </c>
    </row>
    <row r="26">
      <c r="A26" s="15" t="inlineStr">
        <is>
          <t>test/audit-compact.test.ts</t>
        </is>
      </c>
      <c r="B26" s="15" t="inlineStr">
        <is>
          <t>—</t>
        </is>
      </c>
      <c r="C26" s="15" t="inlineStr">
        <is>
          <t>matched level drops unmatched events but keeps errors and matches</t>
        </is>
      </c>
      <c r="D26" s="28" t="inlineStr">
        <is>
          <t>PASS</t>
        </is>
      </c>
      <c r="E26" s="31" t="n">
        <v>3.1</v>
      </c>
    </row>
    <row r="27">
      <c r="A27" s="15" t="inlineStr">
        <is>
          <t>test/campaign-loop.test.ts</t>
        </is>
      </c>
      <c r="B27" s="15" t="inlineStr">
        <is>
          <t>—</t>
        </is>
      </c>
      <c r="C27" s="15" t="inlineStr">
        <is>
          <t>B1 exact winning lifecycle</t>
        </is>
      </c>
      <c r="D27" s="28" t="inlineStr">
        <is>
          <t>PASS</t>
        </is>
      </c>
      <c r="E27" s="31" t="n">
        <v>833.4</v>
      </c>
    </row>
    <row r="28">
      <c r="A28" s="15" t="inlineStr">
        <is>
          <t>test/campaign-loop.test.ts</t>
        </is>
      </c>
      <c r="B28" s="15" t="inlineStr">
        <is>
          <t>—</t>
        </is>
      </c>
      <c r="C28" s="15" t="inlineStr">
        <is>
          <t>B2 zero orders pauses on day 6 and remains paused</t>
        </is>
      </c>
      <c r="D28" s="28" t="inlineStr">
        <is>
          <t>PASS</t>
        </is>
      </c>
      <c r="E28" s="31" t="n">
        <v>420.9</v>
      </c>
    </row>
    <row r="29">
      <c r="A29" s="15" t="inlineStr">
        <is>
          <t>test/campaign-loop.test.ts</t>
        </is>
      </c>
      <c r="B29" s="15" t="inlineStr">
        <is>
          <t>—</t>
        </is>
      </c>
      <c r="C29" s="15" t="inlineStr">
        <is>
          <t>B3 deteriorates then recovers and restores bids</t>
        </is>
      </c>
      <c r="D29" s="28" t="inlineStr">
        <is>
          <t>PASS</t>
        </is>
      </c>
      <c r="E29" s="31" t="n">
        <v>683.3</v>
      </c>
    </row>
    <row r="30">
      <c r="A30" s="15" t="inlineStr">
        <is>
          <t>test/campaign-loop.test.ts</t>
        </is>
      </c>
      <c r="B30" s="15" t="inlineStr">
        <is>
          <t>—</t>
        </is>
      </c>
      <c r="C30" s="15" t="inlineStr">
        <is>
          <t>B4 ALERT then permanent pause</t>
        </is>
      </c>
      <c r="D30" s="28" t="inlineStr">
        <is>
          <t>PASS</t>
        </is>
      </c>
      <c r="E30" s="31" t="n">
        <v>344.5</v>
      </c>
    </row>
    <row r="31">
      <c r="A31" s="15" t="inlineStr">
        <is>
          <t>test/campaign-loop.test.ts</t>
        </is>
      </c>
      <c r="B31" s="15" t="inlineStr">
        <is>
          <t>—</t>
        </is>
      </c>
      <c r="C31" s="15" t="inlineStr">
        <is>
          <t>B4 recovery removes ALERT</t>
        </is>
      </c>
      <c r="D31" s="28" t="inlineStr">
        <is>
          <t>PASS</t>
        </is>
      </c>
      <c r="E31" s="31" t="n">
        <v>556.2</v>
      </c>
    </row>
    <row r="32">
      <c r="A32" s="15" t="inlineStr">
        <is>
          <t>test/campaign-loop.test.ts</t>
        </is>
      </c>
      <c r="B32" s="15" t="inlineStr">
        <is>
          <t>—</t>
        </is>
      </c>
      <c r="C32" s="15" t="inlineStr">
        <is>
          <t>B5 R06B recovery=false</t>
        </is>
      </c>
      <c r="D32" s="28" t="inlineStr">
        <is>
          <t>PASS</t>
        </is>
      </c>
      <c r="E32" s="31" t="n">
        <v>303.1</v>
      </c>
    </row>
    <row r="33">
      <c r="A33" s="15" t="inlineStr">
        <is>
          <t>test/campaign-loop.test.ts</t>
        </is>
      </c>
      <c r="B33" s="15" t="inlineStr">
        <is>
          <t>—</t>
        </is>
      </c>
      <c r="C33" s="15" t="inlineStr">
        <is>
          <t>B5 R06B recovery=true</t>
        </is>
      </c>
      <c r="D33" s="28" t="inlineStr">
        <is>
          <t>PASS</t>
        </is>
      </c>
      <c r="E33" s="31" t="n">
        <v>449.4</v>
      </c>
    </row>
    <row r="34">
      <c r="A34" s="15" t="inlineStr">
        <is>
          <t>test/campaign-loop.test.ts</t>
        </is>
      </c>
      <c r="B34" s="15" t="inlineStr">
        <is>
          <t>—</t>
        </is>
      </c>
      <c r="C34" s="15" t="inlineStr">
        <is>
          <t>D stochastic golden-winner smoke, no changes to scenario</t>
        </is>
      </c>
      <c r="D34" s="28" t="inlineStr">
        <is>
          <t>PASS</t>
        </is>
      </c>
      <c r="E34" s="31" t="n">
        <v>524</v>
      </c>
    </row>
    <row r="35">
      <c r="A35" s="15" t="inlineStr">
        <is>
          <t>test/campaign-loop.test.ts</t>
        </is>
      </c>
      <c r="B35" s="15" t="inlineStr">
        <is>
          <t>—</t>
        </is>
      </c>
      <c r="C35" s="15" t="inlineStr">
        <is>
          <t>R06B rearms after recovery and pauses a second sustained deterioration over 80 days</t>
        </is>
      </c>
      <c r="D35" s="28" t="inlineStr">
        <is>
          <t>PASS</t>
        </is>
      </c>
      <c r="E35" s="31" t="n">
        <v>1025.1</v>
      </c>
    </row>
    <row r="36">
      <c r="A36" s="15" t="inlineStr">
        <is>
          <t>test/campaign-loop.test.ts</t>
        </is>
      </c>
      <c r="B36" s="15" t="inlineStr">
        <is>
          <t>—</t>
        </is>
      </c>
      <c r="C36" s="15" t="inlineStr">
        <is>
          <t>daily run occurs once on a 25-hour fallback date when runHour=1</t>
        </is>
      </c>
      <c r="D36" s="28" t="inlineStr">
        <is>
          <t>PASS</t>
        </is>
      </c>
      <c r="E36" s="31" t="n">
        <v>675.5</v>
      </c>
    </row>
    <row r="37">
      <c r="A37" s="15" t="inlineStr">
        <is>
          <t>test/campaign-loop.test.ts</t>
        </is>
      </c>
      <c r="B37" s="15" t="inlineStr">
        <is>
          <t>—</t>
        </is>
      </c>
      <c r="C37" s="15" t="inlineStr">
        <is>
          <t>edge B1 records schedule phases without assuming equal outcomes</t>
        </is>
      </c>
      <c r="D37" s="28" t="inlineStr">
        <is>
          <t>PASS</t>
        </is>
      </c>
      <c r="E37" s="31" t="n">
        <v>912.9</v>
      </c>
    </row>
    <row r="38">
      <c r="A38" s="15" t="inlineStr">
        <is>
          <t>test/campaign-loop.test.ts</t>
        </is>
      </c>
      <c r="B38" s="15" t="inlineStr">
        <is>
          <t>—</t>
        </is>
      </c>
      <c r="C38" s="15" t="inlineStr">
        <is>
          <t>manual enable is the only route out of PAUSED_AUTO and invokes R01</t>
        </is>
      </c>
      <c r="D38" s="28" t="inlineStr">
        <is>
          <t>PASS</t>
        </is>
      </c>
      <c r="E38" s="31" t="n">
        <v>158.1</v>
      </c>
    </row>
    <row r="39">
      <c r="A39" s="15" t="inlineStr">
        <is>
          <t>test/campaign.test.ts</t>
        </is>
      </c>
      <c r="B39" s="15" t="inlineStr">
        <is>
          <t>—</t>
        </is>
      </c>
      <c r="C39" s="15" t="inlineStr">
        <is>
          <t>B6 R07 -&gt; R06B -&gt; R09 keeps/overwrites saved tier (false)</t>
        </is>
      </c>
      <c r="D39" s="28" t="inlineStr">
        <is>
          <t>PASS</t>
        </is>
      </c>
      <c r="E39" s="31" t="n">
        <v>3.9</v>
      </c>
    </row>
    <row r="40">
      <c r="A40" s="15" t="inlineStr">
        <is>
          <t>test/campaign.test.ts</t>
        </is>
      </c>
      <c r="B40" s="15" t="inlineStr">
        <is>
          <t>—</t>
        </is>
      </c>
      <c r="C40" s="15" t="inlineStr">
        <is>
          <t>B6 R07 -&gt; R06B -&gt; R09 keeps/overwrites saved tier (true)</t>
        </is>
      </c>
      <c r="D40" s="28" t="inlineStr">
        <is>
          <t>PASS</t>
        </is>
      </c>
      <c r="E40" s="31" t="n">
        <v>8.9</v>
      </c>
    </row>
    <row r="41">
      <c r="A41" s="15" t="inlineStr">
        <is>
          <t>test/campaign.test.ts</t>
        </is>
      </c>
      <c r="B41" s="15" t="inlineStr">
        <is>
          <t>—</t>
        </is>
      </c>
      <c r="C41" s="15" t="inlineStr">
        <is>
          <t>G6 bid floor does not invent a tag reduction that R09 later restores</t>
        </is>
      </c>
      <c r="D41" s="28" t="inlineStr">
        <is>
          <t>PASS</t>
        </is>
      </c>
      <c r="E41" s="31" t="n">
        <v>2.8</v>
      </c>
    </row>
    <row r="42">
      <c r="A42" s="15" t="inlineStr">
        <is>
          <t>test/campaign.test.ts</t>
        </is>
      </c>
      <c r="B42" s="15" t="inlineStr">
        <is>
          <t>—</t>
        </is>
      </c>
      <c r="C42" s="15" t="inlineStr">
        <is>
          <t>G6 partial floor reduction tracks only the accepted portion</t>
        </is>
      </c>
      <c r="D42" s="28" t="inlineStr">
        <is>
          <t>PASS</t>
        </is>
      </c>
      <c r="E42" s="31" t="n">
        <v>1.4</v>
      </c>
    </row>
    <row r="43">
      <c r="A43" s="15" t="inlineStr">
        <is>
          <t>test/campaign.test.ts</t>
        </is>
      </c>
      <c r="B43" s="15" t="inlineStr">
        <is>
          <t>—</t>
        </is>
      </c>
      <c r="C43" s="15" t="inlineStr">
        <is>
          <t>MetricsReader excludes future versions and granular facts</t>
        </is>
      </c>
      <c r="D43" s="28" t="inlineStr">
        <is>
          <t>PASS</t>
        </is>
      </c>
      <c r="E43" s="31" t="n">
        <v>1.1</v>
      </c>
    </row>
    <row r="44">
      <c r="A44" s="15" t="inlineStr">
        <is>
          <t>test/campaign.test.ts</t>
        </is>
      </c>
      <c r="B44" s="15" t="inlineStr">
        <is>
          <t>—</t>
        </is>
      </c>
      <c r="C44" s="15" t="inlineStr">
        <is>
          <t>R01 needs user reenabling, starts grace and resets window</t>
        </is>
      </c>
      <c r="D44" s="28" t="inlineStr">
        <is>
          <t>PASS</t>
        </is>
      </c>
      <c r="E44" s="31" t="n">
        <v>1.1</v>
      </c>
    </row>
    <row r="45">
      <c r="A45" s="15" t="inlineStr">
        <is>
          <t>test/campaign.test.ts</t>
        </is>
      </c>
      <c r="B45" s="15" t="inlineStr">
        <is>
          <t>—</t>
        </is>
      </c>
      <c r="C45" s="15" t="inlineStr">
        <is>
          <t>R02 cooldown gate</t>
        </is>
      </c>
      <c r="D45" s="28" t="inlineStr">
        <is>
          <t>PASS</t>
        </is>
      </c>
      <c r="E45" s="31" t="n">
        <v>0.9</v>
      </c>
    </row>
    <row r="46">
      <c r="A46" s="15" t="inlineStr">
        <is>
          <t>test/campaign.test.ts</t>
        </is>
      </c>
      <c r="B46" s="15" t="inlineStr">
        <is>
          <t>—</t>
        </is>
      </c>
      <c r="C46" s="15" t="inlineStr">
        <is>
          <t>R02 grace gate</t>
        </is>
      </c>
      <c r="D46" s="28" t="inlineStr">
        <is>
          <t>PASS</t>
        </is>
      </c>
      <c r="E46" s="31" t="n">
        <v>1.2</v>
      </c>
    </row>
    <row r="47">
      <c r="A47" s="15" t="inlineStr">
        <is>
          <t>test/campaign.test.ts</t>
        </is>
      </c>
      <c r="B47" s="15" t="inlineStr">
        <is>
          <t>—</t>
        </is>
      </c>
      <c r="C47" s="15" t="inlineStr">
        <is>
          <t>R02 matches without mutating input</t>
        </is>
      </c>
      <c r="D47" s="28" t="inlineStr">
        <is>
          <t>PASS</t>
        </is>
      </c>
      <c r="E47" s="31" t="n">
        <v>54.1</v>
      </c>
    </row>
    <row r="48">
      <c r="A48" s="15" t="inlineStr">
        <is>
          <t>test/campaign.test.ts</t>
        </is>
      </c>
      <c r="B48" s="15" t="inlineStr">
        <is>
          <t>—</t>
        </is>
      </c>
      <c r="C48" s="15" t="inlineStr">
        <is>
          <t>R02 tag gate</t>
        </is>
      </c>
      <c r="D48" s="28" t="inlineStr">
        <is>
          <t>PASS</t>
        </is>
      </c>
      <c r="E48" s="31" t="n">
        <v>0.8</v>
      </c>
    </row>
    <row r="49">
      <c r="A49" s="15" t="inlineStr">
        <is>
          <t>test/campaign.test.ts</t>
        </is>
      </c>
      <c r="B49" s="15" t="inlineStr">
        <is>
          <t>—</t>
        </is>
      </c>
      <c r="C49" s="15" t="inlineStr">
        <is>
          <t>R03 cooldown gate</t>
        </is>
      </c>
      <c r="D49" s="28" t="inlineStr">
        <is>
          <t>PASS</t>
        </is>
      </c>
      <c r="E49" s="31" t="n">
        <v>0.8</v>
      </c>
    </row>
    <row r="50">
      <c r="A50" s="15" t="inlineStr">
        <is>
          <t>test/campaign.test.ts</t>
        </is>
      </c>
      <c r="B50" s="15" t="inlineStr">
        <is>
          <t>—</t>
        </is>
      </c>
      <c r="C50" s="15" t="inlineStr">
        <is>
          <t>R03 grace gate</t>
        </is>
      </c>
      <c r="D50" s="28" t="inlineStr">
        <is>
          <t>PASS</t>
        </is>
      </c>
      <c r="E50" s="31" t="n">
        <v>1.2</v>
      </c>
    </row>
    <row r="51">
      <c r="A51" s="15" t="inlineStr">
        <is>
          <t>test/campaign.test.ts</t>
        </is>
      </c>
      <c r="B51" s="15" t="inlineStr">
        <is>
          <t>—</t>
        </is>
      </c>
      <c r="C51" s="15" t="inlineStr">
        <is>
          <t>R03 matches without mutating input</t>
        </is>
      </c>
      <c r="D51" s="28" t="inlineStr">
        <is>
          <t>PASS</t>
        </is>
      </c>
      <c r="E51" s="31" t="n">
        <v>16.8</v>
      </c>
    </row>
    <row r="52">
      <c r="A52" s="15" t="inlineStr">
        <is>
          <t>test/campaign.test.ts</t>
        </is>
      </c>
      <c r="B52" s="15" t="inlineStr">
        <is>
          <t>—</t>
        </is>
      </c>
      <c r="C52" s="15" t="inlineStr">
        <is>
          <t>R03 tag gate</t>
        </is>
      </c>
      <c r="D52" s="28" t="inlineStr">
        <is>
          <t>PASS</t>
        </is>
      </c>
      <c r="E52" s="31" t="n">
        <v>0.7</v>
      </c>
    </row>
    <row r="53">
      <c r="A53" s="15" t="inlineStr">
        <is>
          <t>test/campaign.test.ts</t>
        </is>
      </c>
      <c r="B53" s="15" t="inlineStr">
        <is>
          <t>—</t>
        </is>
      </c>
      <c r="C53" s="15" t="inlineStr">
        <is>
          <t>R04 cooldown gate</t>
        </is>
      </c>
      <c r="D53" s="28" t="inlineStr">
        <is>
          <t>PASS</t>
        </is>
      </c>
      <c r="E53" s="31" t="n">
        <v>0.7</v>
      </c>
    </row>
    <row r="54">
      <c r="A54" s="15" t="inlineStr">
        <is>
          <t>test/campaign.test.ts</t>
        </is>
      </c>
      <c r="B54" s="15" t="inlineStr">
        <is>
          <t>—</t>
        </is>
      </c>
      <c r="C54" s="15" t="inlineStr">
        <is>
          <t>R04 grace gate</t>
        </is>
      </c>
      <c r="D54" s="28" t="inlineStr">
        <is>
          <t>PASS</t>
        </is>
      </c>
      <c r="E54" s="31" t="n">
        <v>1</v>
      </c>
    </row>
    <row r="55">
      <c r="A55" s="15" t="inlineStr">
        <is>
          <t>test/campaign.test.ts</t>
        </is>
      </c>
      <c r="B55" s="15" t="inlineStr">
        <is>
          <t>—</t>
        </is>
      </c>
      <c r="C55" s="15" t="inlineStr">
        <is>
          <t>R04 matches without mutating input</t>
        </is>
      </c>
      <c r="D55" s="28" t="inlineStr">
        <is>
          <t>PASS</t>
        </is>
      </c>
      <c r="E55" s="31" t="n">
        <v>4.6</v>
      </c>
    </row>
    <row r="56">
      <c r="A56" s="15" t="inlineStr">
        <is>
          <t>test/campaign.test.ts</t>
        </is>
      </c>
      <c r="B56" s="15" t="inlineStr">
        <is>
          <t>—</t>
        </is>
      </c>
      <c r="C56" s="15" t="inlineStr">
        <is>
          <t>R04 tag gate</t>
        </is>
      </c>
      <c r="D56" s="28" t="inlineStr">
        <is>
          <t>PASS</t>
        </is>
      </c>
      <c r="E56" s="31" t="n">
        <v>0.7</v>
      </c>
    </row>
    <row r="57">
      <c r="A57" s="15" t="inlineStr">
        <is>
          <t>test/campaign.test.ts</t>
        </is>
      </c>
      <c r="B57" s="15" t="inlineStr">
        <is>
          <t>—</t>
        </is>
      </c>
      <c r="C57" s="15" t="inlineStr">
        <is>
          <t>R04B compares historical daily budgets, not the current budget</t>
        </is>
      </c>
      <c r="D57" s="28" t="inlineStr">
        <is>
          <t>PASS</t>
        </is>
      </c>
      <c r="E57" s="31" t="n">
        <v>2.1</v>
      </c>
    </row>
    <row r="58">
      <c r="A58" s="15" t="inlineStr">
        <is>
          <t>test/campaign.test.ts</t>
        </is>
      </c>
      <c r="B58" s="15" t="inlineStr">
        <is>
          <t>—</t>
        </is>
      </c>
      <c r="C58" s="15" t="inlineStr">
        <is>
          <t>R04B cooldown gate</t>
        </is>
      </c>
      <c r="D58" s="28" t="inlineStr">
        <is>
          <t>PASS</t>
        </is>
      </c>
      <c r="E58" s="31" t="n">
        <v>0.7</v>
      </c>
    </row>
    <row r="59">
      <c r="A59" s="15" t="inlineStr">
        <is>
          <t>test/campaign.test.ts</t>
        </is>
      </c>
      <c r="B59" s="15" t="inlineStr">
        <is>
          <t>—</t>
        </is>
      </c>
      <c r="C59" s="15" t="inlineStr">
        <is>
          <t>R04B grace gate</t>
        </is>
      </c>
      <c r="D59" s="28" t="inlineStr">
        <is>
          <t>PASS</t>
        </is>
      </c>
      <c r="E59" s="31" t="n">
        <v>5.5</v>
      </c>
    </row>
    <row r="60">
      <c r="A60" s="15" t="inlineStr">
        <is>
          <t>test/campaign.test.ts</t>
        </is>
      </c>
      <c r="B60" s="15" t="inlineStr">
        <is>
          <t>—</t>
        </is>
      </c>
      <c r="C60" s="15" t="inlineStr">
        <is>
          <t>R04B matches without mutating input</t>
        </is>
      </c>
      <c r="D60" s="28" t="inlineStr">
        <is>
          <t>PASS</t>
        </is>
      </c>
      <c r="E60" s="31" t="n">
        <v>2.3</v>
      </c>
    </row>
    <row r="61">
      <c r="A61" s="15" t="inlineStr">
        <is>
          <t>test/campaign.test.ts</t>
        </is>
      </c>
      <c r="B61" s="15" t="inlineStr">
        <is>
          <t>—</t>
        </is>
      </c>
      <c r="C61" s="15" t="inlineStr">
        <is>
          <t>R04B tag gate</t>
        </is>
      </c>
      <c r="D61" s="28" t="inlineStr">
        <is>
          <t>PASS</t>
        </is>
      </c>
      <c r="E61" s="31" t="n">
        <v>0.7</v>
      </c>
    </row>
    <row r="62">
      <c r="A62" s="15" t="inlineStr">
        <is>
          <t>test/campaign.test.ts</t>
        </is>
      </c>
      <c r="B62" s="15" t="inlineStr">
        <is>
          <t>—</t>
        </is>
      </c>
      <c r="C62" s="15" t="inlineStr">
        <is>
          <t>R05 cooldown gate</t>
        </is>
      </c>
      <c r="D62" s="28" t="inlineStr">
        <is>
          <t>PASS</t>
        </is>
      </c>
      <c r="E62" s="31" t="n">
        <v>2.5</v>
      </c>
    </row>
    <row r="63">
      <c r="A63" s="15" t="inlineStr">
        <is>
          <t>test/campaign.test.ts</t>
        </is>
      </c>
      <c r="B63" s="15" t="inlineStr">
        <is>
          <t>—</t>
        </is>
      </c>
      <c r="C63" s="15" t="inlineStr">
        <is>
          <t>R05 grace gate</t>
        </is>
      </c>
      <c r="D63" s="28" t="inlineStr">
        <is>
          <t>PASS</t>
        </is>
      </c>
      <c r="E63" s="31" t="n">
        <v>1</v>
      </c>
    </row>
    <row r="64">
      <c r="A64" s="15" t="inlineStr">
        <is>
          <t>test/campaign.test.ts</t>
        </is>
      </c>
      <c r="B64" s="15" t="inlineStr">
        <is>
          <t>—</t>
        </is>
      </c>
      <c r="C64" s="15" t="inlineStr">
        <is>
          <t>R05 matches without mutating input</t>
        </is>
      </c>
      <c r="D64" s="28" t="inlineStr">
        <is>
          <t>PASS</t>
        </is>
      </c>
      <c r="E64" s="31" t="n">
        <v>8.4</v>
      </c>
    </row>
    <row r="65">
      <c r="A65" s="15" t="inlineStr">
        <is>
          <t>test/campaign.test.ts</t>
        </is>
      </c>
      <c r="B65" s="15" t="inlineStr">
        <is>
          <t>—</t>
        </is>
      </c>
      <c r="C65" s="15" t="inlineStr">
        <is>
          <t>R06 grace gate</t>
        </is>
      </c>
      <c r="D65" s="28" t="inlineStr">
        <is>
          <t>PASS</t>
        </is>
      </c>
      <c r="E65" s="31" t="n">
        <v>0.8</v>
      </c>
    </row>
    <row r="66">
      <c r="A66" s="15" t="inlineStr">
        <is>
          <t>test/campaign.test.ts</t>
        </is>
      </c>
      <c r="B66" s="15" t="inlineStr">
        <is>
          <t>—</t>
        </is>
      </c>
      <c r="C66" s="15" t="inlineStr">
        <is>
          <t>R06 matches without mutating input</t>
        </is>
      </c>
      <c r="D66" s="28" t="inlineStr">
        <is>
          <t>PASS</t>
        </is>
      </c>
      <c r="E66" s="31" t="n">
        <v>8.5</v>
      </c>
    </row>
    <row r="67">
      <c r="A67" s="15" t="inlineStr">
        <is>
          <t>test/campaign.test.ts</t>
        </is>
      </c>
      <c r="B67" s="15" t="inlineStr">
        <is>
          <t>—</t>
        </is>
      </c>
      <c r="C67" s="15" t="inlineStr">
        <is>
          <t>R06 never retains a waiting R06B phase when pausing</t>
        </is>
      </c>
      <c r="D67" s="28" t="inlineStr">
        <is>
          <t>PASS</t>
        </is>
      </c>
      <c r="E67" s="31" t="n">
        <v>1.5</v>
      </c>
    </row>
    <row r="68">
      <c r="A68" s="15" t="inlineStr">
        <is>
          <t>test/campaign.test.ts</t>
        </is>
      </c>
      <c r="B68" s="15" t="inlineStr">
        <is>
          <t>—</t>
        </is>
      </c>
      <c r="C68" s="15" t="inlineStr">
        <is>
          <t>R06 post window is limited to fourteen dates</t>
        </is>
      </c>
      <c r="D68" s="28" t="inlineStr">
        <is>
          <t>PASS</t>
        </is>
      </c>
      <c r="E68" s="31" t="n">
        <v>25.3</v>
      </c>
    </row>
    <row r="69">
      <c r="A69" s="15" t="inlineStr">
        <is>
          <t>test/campaign.test.ts</t>
        </is>
      </c>
      <c r="B69" s="15" t="inlineStr">
        <is>
          <t>—</t>
        </is>
      </c>
      <c r="C69" s="15" t="inlineStr">
        <is>
          <t>R06B caps stacked tag reductions at .70 and leaves paused targets unchanged</t>
        </is>
      </c>
      <c r="D69" s="28" t="inlineStr">
        <is>
          <t>PASS</t>
        </is>
      </c>
      <c r="E69" s="31" t="n">
        <v>1.6</v>
      </c>
    </row>
    <row r="70">
      <c r="A70" s="15" t="inlineStr">
        <is>
          <t>test/campaign.test.ts</t>
        </is>
      </c>
      <c r="B70" s="15" t="inlineStr">
        <is>
          <t>—</t>
        </is>
      </c>
      <c r="C70" s="15" t="inlineStr">
        <is>
          <t>R06B grace gate</t>
        </is>
      </c>
      <c r="D70" s="28" t="inlineStr">
        <is>
          <t>PASS</t>
        </is>
      </c>
      <c r="E70" s="31" t="n">
        <v>3.1</v>
      </c>
    </row>
    <row r="71">
      <c r="A71" s="15" t="inlineStr">
        <is>
          <t>test/campaign.test.ts</t>
        </is>
      </c>
      <c r="B71" s="15" t="inlineStr">
        <is>
          <t>—</t>
        </is>
      </c>
      <c r="C71" s="15" t="inlineStr">
        <is>
          <t>R06B matches without mutating input</t>
        </is>
      </c>
      <c r="D71" s="28" t="inlineStr">
        <is>
          <t>PASS</t>
        </is>
      </c>
      <c r="E71" s="31" t="n">
        <v>9.1</v>
      </c>
    </row>
    <row r="72">
      <c r="A72" s="15" t="inlineStr">
        <is>
          <t>test/campaign.test.ts</t>
        </is>
      </c>
      <c r="B72" s="15" t="inlineStr">
        <is>
          <t>—</t>
        </is>
      </c>
      <c r="C72" s="15" t="inlineStr">
        <is>
          <t>R06B memory-only completion and R09 resolve STEP1_WAITING</t>
        </is>
      </c>
      <c r="D72" s="28" t="inlineStr">
        <is>
          <t>PASS</t>
        </is>
      </c>
      <c r="E72" s="31" t="n">
        <v>8.800000000000001</v>
      </c>
    </row>
    <row r="73">
      <c r="A73" s="15" t="inlineStr">
        <is>
          <t>test/campaign.test.ts</t>
        </is>
      </c>
      <c r="B73" s="15" t="inlineStr">
        <is>
          <t>—</t>
        </is>
      </c>
      <c r="C73" s="15" t="inlineStr">
        <is>
          <t>R07 grace gate</t>
        </is>
      </c>
      <c r="D73" s="28" t="inlineStr">
        <is>
          <t>PASS</t>
        </is>
      </c>
      <c r="E73" s="31" t="n">
        <v>1</v>
      </c>
    </row>
    <row r="74">
      <c r="A74" s="15" t="inlineStr">
        <is>
          <t>test/campaign.test.ts</t>
        </is>
      </c>
      <c r="B74" s="15" t="inlineStr">
        <is>
          <t>—</t>
        </is>
      </c>
      <c r="C74" s="15" t="inlineStr">
        <is>
          <t>R07 matches without mutating input</t>
        </is>
      </c>
      <c r="D74" s="28" t="inlineStr">
        <is>
          <t>PASS</t>
        </is>
      </c>
      <c r="E74" s="31" t="n">
        <v>4.5</v>
      </c>
    </row>
    <row r="75">
      <c r="A75" s="15" t="inlineStr">
        <is>
          <t>test/campaign.test.ts</t>
        </is>
      </c>
      <c r="B75" s="15" t="inlineStr">
        <is>
          <t>—</t>
        </is>
      </c>
      <c r="C75" s="15" t="inlineStr">
        <is>
          <t>R07 schedule gate</t>
        </is>
      </c>
      <c r="D75" s="28" t="inlineStr">
        <is>
          <t>PASS</t>
        </is>
      </c>
      <c r="E75" s="31" t="n">
        <v>0.9</v>
      </c>
    </row>
    <row r="76">
      <c r="A76" s="15" t="inlineStr">
        <is>
          <t>test/campaign.test.ts</t>
        </is>
      </c>
      <c r="B76" s="15" t="inlineStr">
        <is>
          <t>—</t>
        </is>
      </c>
      <c r="C76" s="15" t="inlineStr">
        <is>
          <t>R08 grace gate</t>
        </is>
      </c>
      <c r="D76" s="28" t="inlineStr">
        <is>
          <t>PASS</t>
        </is>
      </c>
      <c r="E76" s="31" t="n">
        <v>1</v>
      </c>
    </row>
    <row r="77">
      <c r="A77" s="15" t="inlineStr">
        <is>
          <t>test/campaign.test.ts</t>
        </is>
      </c>
      <c r="B77" s="15" t="inlineStr">
        <is>
          <t>—</t>
        </is>
      </c>
      <c r="C77" s="15" t="inlineStr">
        <is>
          <t>R08 matches with historical orders outside reset window and preserves MANAGE metadata</t>
        </is>
      </c>
      <c r="D77" s="28" t="inlineStr">
        <is>
          <t>PASS</t>
        </is>
      </c>
      <c r="E77" s="31" t="n">
        <v>1.8</v>
      </c>
    </row>
    <row r="78">
      <c r="A78" s="15" t="inlineStr">
        <is>
          <t>test/campaign.test.ts</t>
        </is>
      </c>
      <c r="B78" s="15" t="inlineStr">
        <is>
          <t>—</t>
        </is>
      </c>
      <c r="C78" s="15" t="inlineStr">
        <is>
          <t>R08 schedule gate</t>
        </is>
      </c>
      <c r="D78" s="28" t="inlineStr">
        <is>
          <t>PASS</t>
        </is>
      </c>
      <c r="E78" s="31" t="n">
        <v>0.9</v>
      </c>
    </row>
    <row r="79">
      <c r="A79" s="15" t="inlineStr">
        <is>
          <t>test/campaign.test.ts</t>
        </is>
      </c>
      <c r="B79" s="15" t="inlineStr">
        <is>
          <t>—</t>
        </is>
      </c>
      <c r="C79" s="15" t="inlineStr">
        <is>
          <t>R09 cannot mark a capped restoration as completed</t>
        </is>
      </c>
      <c r="D79" s="28" t="inlineStr">
        <is>
          <t>PASS</t>
        </is>
      </c>
      <c r="E79" s="31" t="n">
        <v>3.8</v>
      </c>
    </row>
    <row r="80">
      <c r="A80" s="15" t="inlineStr">
        <is>
          <t>test/campaign.test.ts</t>
        </is>
      </c>
      <c r="B80" s="15" t="inlineStr">
        <is>
          <t>—</t>
        </is>
      </c>
      <c r="C80" s="15" t="inlineStr">
        <is>
          <t>R09 clears the last nominal factor when cent rounding needs no bid write</t>
        </is>
      </c>
      <c r="D80" s="28" t="inlineStr">
        <is>
          <t>PASS</t>
        </is>
      </c>
      <c r="E80" s="31" t="n">
        <v>1</v>
      </c>
    </row>
    <row r="81">
      <c r="A81" s="15" t="inlineStr">
        <is>
          <t>test/campaign.test.ts</t>
        </is>
      </c>
      <c r="B81" s="15" t="inlineStr">
        <is>
          <t>—</t>
        </is>
      </c>
      <c r="C81" s="15" t="inlineStr">
        <is>
          <t>R09 grace gate</t>
        </is>
      </c>
      <c r="D81" s="28" t="inlineStr">
        <is>
          <t>PASS</t>
        </is>
      </c>
      <c r="E81" s="31" t="n">
        <v>2.4</v>
      </c>
    </row>
    <row r="82">
      <c r="A82" s="15" t="inlineStr">
        <is>
          <t>test/campaign.test.ts</t>
        </is>
      </c>
      <c r="B82" s="15" t="inlineStr">
        <is>
          <t>—</t>
        </is>
      </c>
      <c r="C82" s="15" t="inlineStr">
        <is>
          <t>R09 keep-current option and failed tracker check</t>
        </is>
      </c>
      <c r="D82" s="28" t="inlineStr">
        <is>
          <t>PASS</t>
        </is>
      </c>
      <c r="E82" s="31" t="n">
        <v>6.4</v>
      </c>
    </row>
    <row r="83">
      <c r="A83" s="15" t="inlineStr">
        <is>
          <t>test/campaign.test.ts</t>
        </is>
      </c>
      <c r="B83" s="15" t="inlineStr">
        <is>
          <t>—</t>
        </is>
      </c>
      <c r="C83" s="15" t="inlineStr">
        <is>
          <t>R09 rearms ALERT after completed R06B in the same decision</t>
        </is>
      </c>
      <c r="D83" s="28" t="inlineStr">
        <is>
          <t>PASS</t>
        </is>
      </c>
      <c r="E83" s="31" t="n">
        <v>1.6</v>
      </c>
    </row>
    <row r="84">
      <c r="A84" s="15" t="inlineStr">
        <is>
          <t>test/campaign.test.ts</t>
        </is>
      </c>
      <c r="B84" s="15" t="inlineStr">
        <is>
          <t>—</t>
        </is>
      </c>
      <c r="C84" s="15" t="inlineStr">
        <is>
          <t>R09 rearms MANAGE after completed R06B in the same decision</t>
        </is>
      </c>
      <c r="D84" s="28" t="inlineStr">
        <is>
          <t>PASS</t>
        </is>
      </c>
      <c r="E84" s="31" t="n">
        <v>3.4</v>
      </c>
    </row>
    <row r="85">
      <c r="A85" s="15" t="inlineStr">
        <is>
          <t>test/campaign.test.ts</t>
        </is>
      </c>
      <c r="B85" s="15" t="inlineStr">
        <is>
          <t>—</t>
        </is>
      </c>
      <c r="C85" s="15" t="inlineStr">
        <is>
          <t>R09 restores tag portion without undoing unrelated bid reductions</t>
        </is>
      </c>
      <c r="D85" s="28" t="inlineStr">
        <is>
          <t>PASS</t>
        </is>
      </c>
      <c r="E85" s="31" t="n">
        <v>4.1</v>
      </c>
    </row>
    <row r="86">
      <c r="A86" s="15" t="inlineStr">
        <is>
          <t>test/campaign.test.ts</t>
        </is>
      </c>
      <c r="B86" s="15" t="inlineStr">
        <is>
          <t>—</t>
        </is>
      </c>
      <c r="C86" s="15" t="inlineStr">
        <is>
          <t>R09 schedule gate</t>
        </is>
      </c>
      <c r="D86" s="28" t="inlineStr">
        <is>
          <t>PASS</t>
        </is>
      </c>
      <c r="E86" s="31" t="n">
        <v>1.9</v>
      </c>
    </row>
    <row r="87">
      <c r="A87" s="15" t="inlineStr">
        <is>
          <t>test/campaign.test.ts</t>
        </is>
      </c>
      <c r="B87" s="15" t="inlineStr">
        <is>
          <t>—</t>
        </is>
      </c>
      <c r="C87" s="15" t="inlineStr">
        <is>
          <t>R09 tracker checks once without consuming G5</t>
        </is>
      </c>
      <c r="D87" s="28" t="inlineStr">
        <is>
          <t>PASS</t>
        </is>
      </c>
      <c r="E87" s="31" t="n">
        <v>1.7</v>
      </c>
    </row>
    <row r="88">
      <c r="A88" s="15" t="inlineStr">
        <is>
          <t>test/campaign.test.ts</t>
        </is>
      </c>
      <c r="B88" s="15" t="inlineStr">
        <is>
          <t>—</t>
        </is>
      </c>
      <c r="C88" s="15" t="inlineStr">
        <is>
          <t>campaign invariant rejects NORMAL with R06B phase DONE</t>
        </is>
      </c>
      <c r="D88" s="28" t="inlineStr">
        <is>
          <t>PASS</t>
        </is>
      </c>
      <c r="E88" s="31" t="n">
        <v>0.9</v>
      </c>
    </row>
    <row r="89">
      <c r="A89" s="15" t="inlineStr">
        <is>
          <t>test/campaign.test.ts</t>
        </is>
      </c>
      <c r="B89" s="15" t="inlineStr">
        <is>
          <t>—</t>
        </is>
      </c>
      <c r="C89" s="15" t="inlineStr">
        <is>
          <t>campaign invariant rejects NORMAL with R06B phase STEP1_WAITING</t>
        </is>
      </c>
      <c r="D89" s="28" t="inlineStr">
        <is>
          <t>PASS</t>
        </is>
      </c>
      <c r="E89" s="31" t="n">
        <v>3.6</v>
      </c>
    </row>
    <row r="90">
      <c r="A90" s="15" t="inlineStr">
        <is>
          <t>test/campaign.test.ts</t>
        </is>
      </c>
      <c r="B90" s="15" t="inlineStr">
        <is>
          <t>—</t>
        </is>
      </c>
      <c r="C90" s="15" t="inlineStr">
        <is>
          <t>state invariants validate new campaign history, timestamp and counters</t>
        </is>
      </c>
      <c r="D90" s="28" t="inlineStr">
        <is>
          <t>PASS</t>
        </is>
      </c>
      <c r="E90" s="31" t="n">
        <v>1.7</v>
      </c>
    </row>
    <row r="91">
      <c r="A91" s="15" t="inlineStr">
        <is>
          <t>test/campaign.test.ts</t>
        </is>
      </c>
      <c r="B91" s="15" t="inlineStr">
        <is>
          <t>—</t>
        </is>
      </c>
      <c r="C91" s="15" t="inlineStr">
        <is>
          <t>threshold boundaries and no-ops</t>
        </is>
      </c>
      <c r="D91" s="28" t="inlineStr">
        <is>
          <t>PASS</t>
        </is>
      </c>
      <c r="E91" s="31" t="n">
        <v>10.7</v>
      </c>
    </row>
    <row r="92">
      <c r="A92" s="15" t="inlineStr">
        <is>
          <t>test/campaign.test.ts</t>
        </is>
      </c>
      <c r="B92" s="15" t="inlineStr">
        <is>
          <t>—</t>
        </is>
      </c>
      <c r="C92" s="15" t="inlineStr">
        <is>
          <t>zero orders cannot be inferred from missing dates</t>
        </is>
      </c>
      <c r="D92" s="28" t="inlineStr">
        <is>
          <t>PASS</t>
        </is>
      </c>
      <c r="E92" s="31" t="n">
        <v>79.3</v>
      </c>
    </row>
    <row r="93">
      <c r="A93" s="15" t="inlineStr">
        <is>
          <t>test/cli.test.ts</t>
        </is>
      </c>
      <c r="B93" s="15" t="inlineStr">
        <is>
          <t>—</t>
        </is>
      </c>
      <c r="C93" s="15" t="inlineStr">
        <is>
          <t>builds a Node CLI with deterministic JSONL and summary artifacts</t>
        </is>
      </c>
      <c r="D93" s="28" t="inlineStr">
        <is>
          <t>PASS</t>
        </is>
      </c>
      <c r="E93" s="31" t="n">
        <v>5156.2</v>
      </c>
    </row>
    <row r="94">
      <c r="A94" s="15" t="inlineStr">
        <is>
          <t>test/cli.test.ts</t>
        </is>
      </c>
      <c r="B94" s="15" t="inlineStr">
        <is>
          <t>—</t>
        </is>
      </c>
      <c r="C94" s="15" t="inlineStr">
        <is>
          <t>campaign CLI writes decisions, audit, notifications and timeline</t>
        </is>
      </c>
      <c r="D94" s="28" t="inlineStr">
        <is>
          <t>PASS</t>
        </is>
      </c>
      <c r="E94" s="31" t="n">
        <v>3645.1</v>
      </c>
    </row>
    <row r="95">
      <c r="A95" s="15" t="inlineStr">
        <is>
          <t>test/crash.test.ts</t>
        </is>
      </c>
      <c r="B95" s="15" t="inlineStr">
        <is>
          <t>—</t>
        </is>
      </c>
      <c r="C95" s="15" t="inlineStr">
        <is>
          <t>E2 replay from pre-run snapshot at each crash point equals clean daily state and API with R12 only once</t>
        </is>
      </c>
      <c r="D95" s="28" t="inlineStr">
        <is>
          <t>PASS</t>
        </is>
      </c>
      <c r="E95" s="31" t="n">
        <v>335.9</v>
      </c>
    </row>
    <row r="96">
      <c r="A96" s="15" t="inlineStr">
        <is>
          <t>test/domain.test.ts</t>
        </is>
      </c>
      <c r="B96" s="15" t="inlineStr">
        <is>
          <t>ACoS</t>
        </is>
      </c>
      <c r="C96" s="15" t="inlineStr">
        <is>
          <t>classifies 0/0</t>
        </is>
      </c>
      <c r="D96" s="28" t="inlineStr">
        <is>
          <t>PASS</t>
        </is>
      </c>
      <c r="E96" s="31" t="n">
        <v>0.1</v>
      </c>
    </row>
    <row r="97">
      <c r="A97" s="15" t="inlineStr">
        <is>
          <t>test/domain.test.ts</t>
        </is>
      </c>
      <c r="B97" s="15" t="inlineStr">
        <is>
          <t>ACoS</t>
        </is>
      </c>
      <c r="C97" s="15" t="inlineStr">
        <is>
          <t>classifies 0/10</t>
        </is>
      </c>
      <c r="D97" s="28" t="inlineStr">
        <is>
          <t>PASS</t>
        </is>
      </c>
      <c r="E97" s="31" t="n">
        <v>0.1</v>
      </c>
    </row>
    <row r="98">
      <c r="A98" s="15" t="inlineStr">
        <is>
          <t>test/domain.test.ts</t>
        </is>
      </c>
      <c r="B98" s="15" t="inlineStr">
        <is>
          <t>ACoS</t>
        </is>
      </c>
      <c r="C98" s="15" t="inlineStr">
        <is>
          <t>classifies 1/0</t>
        </is>
      </c>
      <c r="D98" s="28" t="inlineStr">
        <is>
          <t>PASS</t>
        </is>
      </c>
      <c r="E98" s="31" t="n">
        <v>0.1</v>
      </c>
    </row>
    <row r="99">
      <c r="A99" s="15" t="inlineStr">
        <is>
          <t>test/domain.test.ts</t>
        </is>
      </c>
      <c r="B99" s="15" t="inlineStr">
        <is>
          <t>ACoS</t>
        </is>
      </c>
      <c r="C99" s="15" t="inlineStr">
        <is>
          <t>classifies 2/10</t>
        </is>
      </c>
      <c r="D99" s="28" t="inlineStr">
        <is>
          <t>PASS</t>
        </is>
      </c>
      <c r="E99" s="31" t="n">
        <v>0.1</v>
      </c>
    </row>
    <row r="100">
      <c r="A100" s="15" t="inlineStr">
        <is>
          <t>test/domain.test.ts</t>
        </is>
      </c>
      <c r="B100" s="15" t="inlineStr">
        <is>
          <t>ACoS</t>
        </is>
      </c>
      <c r="C100" s="15" t="inlineStr">
        <is>
          <t>implements all comparison semantics</t>
        </is>
      </c>
      <c r="D100" s="28" t="inlineStr">
        <is>
          <t>PASS</t>
        </is>
      </c>
      <c r="E100" s="31" t="n">
        <v>0.3</v>
      </c>
    </row>
    <row r="101">
      <c r="A101" s="15" t="inlineStr">
        <is>
          <t>test/domain.test.ts</t>
        </is>
      </c>
      <c r="B101" s="15" t="inlineStr">
        <is>
          <t>G1 money and product parameters</t>
        </is>
      </c>
      <c r="C101" s="15" t="inlineStr">
        <is>
          <t>derives the reference thresholds and stable parameter version</t>
        </is>
      </c>
      <c r="D101" s="28" t="inlineStr">
        <is>
          <t>PASS</t>
        </is>
      </c>
      <c r="E101" s="31" t="n">
        <v>2.3</v>
      </c>
    </row>
    <row r="102">
      <c r="A102" s="15" t="inlineStr">
        <is>
          <t>test/domain.test.ts</t>
        </is>
      </c>
      <c r="B102" s="15" t="inlineStr">
        <is>
          <t>G1 money and product parameters</t>
        </is>
      </c>
      <c r="C102" s="15" t="inlineStr">
        <is>
          <t>keeps micros integral and rounds cent bids</t>
        </is>
      </c>
      <c r="D102" s="28" t="inlineStr">
        <is>
          <t>PASS</t>
        </is>
      </c>
      <c r="E102" s="31" t="n">
        <v>0.7</v>
      </c>
    </row>
    <row r="103">
      <c r="A103" s="15" t="inlineStr">
        <is>
          <t>test/domain.test.ts</t>
        </is>
      </c>
      <c r="B103" s="15" t="inlineStr">
        <is>
          <t>G1 money and product parameters</t>
        </is>
      </c>
      <c r="C103" s="15" t="inlineStr">
        <is>
          <t>steps budget tiers without leaving the ladder</t>
        </is>
      </c>
      <c r="D103" s="28" t="inlineStr">
        <is>
          <t>PASS</t>
        </is>
      </c>
      <c r="E103" s="31" t="n">
        <v>0.2</v>
      </c>
    </row>
    <row r="104">
      <c r="A104" s="15" t="inlineStr">
        <is>
          <t>test/domain.test.ts</t>
        </is>
      </c>
      <c r="B104" s="15" t="inlineStr">
        <is>
          <t>G1 money and product parameters</t>
        </is>
      </c>
      <c r="C104" s="15" t="inlineStr">
        <is>
          <t>warns for infeasible products and clamps spend bounds</t>
        </is>
      </c>
      <c r="D104" s="28" t="inlineStr">
        <is>
          <t>PASS</t>
        </is>
      </c>
      <c r="E104" s="31" t="n">
        <v>1.2</v>
      </c>
    </row>
    <row r="105">
      <c r="A105" s="15" t="inlineStr">
        <is>
          <t>test/domain.test.ts</t>
        </is>
      </c>
      <c r="B105" s="15" t="inlineStr">
        <is>
          <t>—</t>
        </is>
      </c>
      <c r="C105" s="15" t="inlineStr">
        <is>
          <t>G4 derives outbound bid without mutating base and rejects inconsistent state</t>
        </is>
      </c>
      <c r="D105" s="28" t="inlineStr">
        <is>
          <t>PASS</t>
        </is>
      </c>
      <c r="E105" s="31" t="n">
        <v>0.5</v>
      </c>
    </row>
    <row r="106">
      <c r="A106" s="15" t="inlineStr">
        <is>
          <t>test/edge-cycle.test.ts</t>
        </is>
      </c>
      <c r="B106" s="15" t="inlineStr">
        <is>
          <t>—</t>
        </is>
      </c>
      <c r="C106" s="15" t="inlineStr">
        <is>
          <t>C3 five MANAGE NORMAL cycles restore base within one cent</t>
        </is>
      </c>
      <c r="D106" s="28" t="inlineStr">
        <is>
          <t>PASS</t>
        </is>
      </c>
      <c r="E106" s="31" t="n">
        <v>143.1</v>
      </c>
    </row>
    <row r="107">
      <c r="A107" s="15" t="inlineStr">
        <is>
          <t>test/edge-suite.test.ts</t>
        </is>
      </c>
      <c r="B107" s="15" t="inlineStr">
        <is>
          <t>—</t>
        </is>
      </c>
      <c r="C107" s="15" t="inlineStr">
        <is>
          <t>A5 deduplicates capped target hours and A6 observes hourly analysis rather than daily decisions</t>
        </is>
      </c>
      <c r="D107" s="28" t="inlineStr">
        <is>
          <t>PASS</t>
        </is>
      </c>
      <c r="E107" s="31" t="n">
        <v>205.9</v>
      </c>
    </row>
    <row r="108">
      <c r="A108" s="15" t="inlineStr">
        <is>
          <t>test/edge-suite.test.ts</t>
        </is>
      </c>
      <c r="B108" s="15" t="inlineStr">
        <is>
          <t>—</t>
        </is>
      </c>
      <c r="C108" s="15" t="inlineStr">
        <is>
          <t>B2 labels measured window spend separately from the product Spend_zero threshold</t>
        </is>
      </c>
      <c r="D108" s="28" t="inlineStr">
        <is>
          <t>PASS</t>
        </is>
      </c>
      <c r="E108" s="31" t="n">
        <v>186.6</v>
      </c>
    </row>
    <row r="109">
      <c r="A109" s="15" t="inlineStr">
        <is>
          <t>test/edge-suite.test.ts</t>
        </is>
      </c>
      <c r="B109" s="15" t="inlineStr">
        <is>
          <t>—</t>
        </is>
      </c>
      <c r="C109" s="15" t="inlineStr">
        <is>
          <t>D2 uses exactly the fourteen dates after tagging and excludes incomplete tails</t>
        </is>
      </c>
      <c r="D109" s="28" t="inlineStr">
        <is>
          <t>PASS</t>
        </is>
      </c>
      <c r="E109" s="31" t="n">
        <v>188.2</v>
      </c>
    </row>
    <row r="110">
      <c r="A110" s="15" t="inlineStr">
        <is>
          <t>test/edge-suite.test.ts</t>
        </is>
      </c>
      <c r="B110" s="15" t="inlineStr">
        <is>
          <t>—</t>
        </is>
      </c>
      <c r="C110" s="15" t="inlineStr">
        <is>
          <t>edge checks reject duplicate per-run target bid decisions and record measures</t>
        </is>
      </c>
      <c r="D110" s="28" t="inlineStr">
        <is>
          <t>PASS</t>
        </is>
      </c>
      <c r="E110" s="31" t="n">
        <v>654</v>
      </c>
    </row>
    <row r="111">
      <c r="A111" s="15" t="inlineStr">
        <is>
          <t>test/edge-suite.test.ts</t>
        </is>
      </c>
      <c r="B111" s="15" t="inlineStr">
        <is>
          <t>—</t>
        </is>
      </c>
      <c r="C111" s="15" t="inlineStr">
        <is>
          <t>edge measurement files retain every metric and invariant failures</t>
        </is>
      </c>
      <c r="D111" s="28" t="inlineStr">
        <is>
          <t>PASS</t>
        </is>
      </c>
      <c r="E111" s="31" t="n">
        <v>1.9</v>
      </c>
    </row>
    <row r="112">
      <c r="A112" s="15" t="inlineStr">
        <is>
          <t>test/engine.test.ts</t>
        </is>
      </c>
      <c r="B112" s="15" t="inlineStr">
        <is>
          <t>—</t>
        </is>
      </c>
      <c r="C112" s="15" t="inlineStr">
        <is>
          <t>G3 grace blocks exactly the specified IDs</t>
        </is>
      </c>
      <c r="D112" s="28" t="inlineStr">
        <is>
          <t>PASS</t>
        </is>
      </c>
      <c r="E112" s="31" t="n">
        <v>2.8</v>
      </c>
    </row>
    <row r="113">
      <c r="A113" s="15" t="inlineStr">
        <is>
          <t>test/engine.test.ts</t>
        </is>
      </c>
      <c r="B113" s="15" t="inlineStr">
        <is>
          <t>—</t>
        </is>
      </c>
      <c r="C113" s="15" t="inlineStr">
        <is>
          <t>G3 reset preserves cooldown and no-op preserves memory identity</t>
        </is>
      </c>
      <c r="D113" s="28" t="inlineStr">
        <is>
          <t>PASS</t>
        </is>
      </c>
      <c r="E113" s="31" t="n">
        <v>29.8</v>
      </c>
    </row>
    <row r="114">
      <c r="A114" s="15" t="inlineStr">
        <is>
          <t>test/engine.test.ts</t>
        </is>
      </c>
      <c r="B114" s="15" t="inlineStr">
        <is>
          <t>—</t>
        </is>
      </c>
      <c r="C114" s="15" t="inlineStr">
        <is>
          <t>G5 accepts recovery from manual bid drift and skips movement away</t>
        </is>
      </c>
      <c r="D114" s="28" t="inlineStr">
        <is>
          <t>PASS</t>
        </is>
      </c>
      <c r="E114" s="31" t="n">
        <v>0.7</v>
      </c>
    </row>
    <row r="115">
      <c r="A115" s="15" t="inlineStr">
        <is>
          <t>test/engine.test.ts</t>
        </is>
      </c>
      <c r="B115" s="15" t="inlineStr">
        <is>
          <t>—</t>
        </is>
      </c>
      <c r="C115" s="15" t="inlineStr">
        <is>
          <t>G5 applies the effective cap when hourly factor changes without a base proposal</t>
        </is>
      </c>
      <c r="D115" s="28" t="inlineStr">
        <is>
          <t>PASS</t>
        </is>
      </c>
      <c r="E115" s="31" t="n">
        <v>0.8</v>
      </c>
    </row>
    <row r="116">
      <c r="A116" s="15" t="inlineStr">
        <is>
          <t>test/engine.test.ts</t>
        </is>
      </c>
      <c r="B116" s="15" t="inlineStr">
        <is>
          <t>—</t>
        </is>
      </c>
      <c r="C116" s="15" t="inlineStr">
        <is>
          <t>G5 audits an empty bid range as an error and produces no unsafe decision</t>
        </is>
      </c>
      <c r="D116" s="28" t="inlineStr">
        <is>
          <t>PASS</t>
        </is>
      </c>
      <c r="E116" s="31" t="n">
        <v>0.4</v>
      </c>
    </row>
    <row r="117">
      <c r="A117" s="15" t="inlineStr">
        <is>
          <t>test/engine.test.ts</t>
        </is>
      </c>
      <c r="B117" s="15" t="inlineStr">
        <is>
          <t>—</t>
        </is>
      </c>
      <c r="C117" s="15" t="inlineStr">
        <is>
          <t>G5 audits eligibility, tag, cooldown and grace blockers</t>
        </is>
      </c>
      <c r="D117" s="28" t="inlineStr">
        <is>
          <t>PASS</t>
        </is>
      </c>
      <c r="E117" s="31" t="n">
        <v>0.9</v>
      </c>
    </row>
    <row r="118">
      <c r="A118" s="15" t="inlineStr">
        <is>
          <t>test/engine.test.ts</t>
        </is>
      </c>
      <c r="B118" s="15" t="inlineStr">
        <is>
          <t>—</t>
        </is>
      </c>
      <c r="C118" s="15" t="inlineStr">
        <is>
          <t>G5 detects cross-level conflict in reverse order too</t>
        </is>
      </c>
      <c r="D118" s="28" t="inlineStr">
        <is>
          <t>PASS</t>
        </is>
      </c>
      <c r="E118" s="31" t="n">
        <v>0.8</v>
      </c>
    </row>
    <row r="119">
      <c r="A119" s="15" t="inlineStr">
        <is>
          <t>test/engine.test.ts</t>
        </is>
      </c>
      <c r="B119" s="15" t="inlineStr">
        <is>
          <t>—</t>
        </is>
      </c>
      <c r="C119" s="15" t="inlineStr">
        <is>
          <t>G5 exact priorities</t>
        </is>
      </c>
      <c r="D119" s="28" t="inlineStr">
        <is>
          <t>PASS</t>
        </is>
      </c>
      <c r="E119" s="31" t="n">
        <v>0.5</v>
      </c>
    </row>
    <row r="120">
      <c r="A120" s="15" t="inlineStr">
        <is>
          <t>test/engine.test.ts</t>
        </is>
      </c>
      <c r="B120" s="15" t="inlineStr">
        <is>
          <t>—</t>
        </is>
      </c>
      <c r="C120" s="15" t="inlineStr">
        <is>
          <t>G5 ignores hourly changes on paused targets and rejects direct outbound writes</t>
        </is>
      </c>
      <c r="D120" s="28" t="inlineStr">
        <is>
          <t>PASS</t>
        </is>
      </c>
      <c r="E120" s="31" t="n">
        <v>1.1</v>
      </c>
    </row>
    <row r="121">
      <c r="A121" s="15" t="inlineStr">
        <is>
          <t>test/engine.test.ts</t>
        </is>
      </c>
      <c r="B121" s="15" t="inlineStr">
        <is>
          <t>—</t>
        </is>
      </c>
      <c r="C121" s="15" t="inlineStr">
        <is>
          <t>G5 rejects campaign/target cross-level base bid conflict without merging</t>
        </is>
      </c>
      <c r="D121" s="28" t="inlineStr">
        <is>
          <t>PASS</t>
        </is>
      </c>
      <c r="E121" s="31" t="n">
        <v>1.5</v>
      </c>
    </row>
    <row r="122">
      <c r="A122" s="15" t="inlineStr">
        <is>
          <t>test/engine.test.ts</t>
        </is>
      </c>
      <c r="B122" s="15" t="inlineStr">
        <is>
          <t>—</t>
        </is>
      </c>
      <c r="C122" s="15" t="inlineStr">
        <is>
          <t>G5 skips post-guard cent no-op, records audit, returns one decision per object/run</t>
        </is>
      </c>
      <c r="D122" s="28" t="inlineStr">
        <is>
          <t>PASS</t>
        </is>
      </c>
      <c r="E122" s="31" t="n">
        <v>5.1</v>
      </c>
    </row>
    <row r="123">
      <c r="A123" s="15" t="inlineStr">
        <is>
          <t>test/engine.test.ts</t>
        </is>
      </c>
      <c r="B123" s="15" t="inlineStr">
        <is>
          <t>—</t>
        </is>
      </c>
      <c r="C123" s="15" t="inlineStr">
        <is>
          <t>R02 stamps campaign budget cooldown</t>
        </is>
      </c>
      <c r="D123" s="28" t="inlineStr">
        <is>
          <t>PASS</t>
        </is>
      </c>
      <c r="E123" s="31" t="n">
        <v>11.5</v>
      </c>
    </row>
    <row r="124">
      <c r="A124" s="15" t="inlineStr">
        <is>
          <t>test/engine.test.ts</t>
        </is>
      </c>
      <c r="B124" s="15" t="inlineStr">
        <is>
          <t>—</t>
        </is>
      </c>
      <c r="C124" s="15" t="inlineStr">
        <is>
          <t>R04B stamps campaign budget cooldown</t>
        </is>
      </c>
      <c r="D124" s="28" t="inlineStr">
        <is>
          <t>PASS</t>
        </is>
      </c>
      <c r="E124" s="31" t="n">
        <v>30.4</v>
      </c>
    </row>
    <row r="125">
      <c r="A125" s="15" t="inlineStr">
        <is>
          <t>test/engine.test.ts</t>
        </is>
      </c>
      <c r="B125" s="15" t="inlineStr">
        <is>
          <t>—</t>
        </is>
      </c>
      <c r="C125" s="15" t="inlineStr">
        <is>
          <t>R07 stamps only the two changed targets and campaign budget</t>
        </is>
      </c>
      <c r="D125" s="28" t="inlineStr">
        <is>
          <t>PASS</t>
        </is>
      </c>
      <c r="E125" s="31" t="n">
        <v>1</v>
      </c>
    </row>
    <row r="126">
      <c r="A126" s="15" t="inlineStr">
        <is>
          <t>test/engine.test.ts</t>
        </is>
      </c>
      <c r="B126" s="15" t="inlineStr">
        <is>
          <t>—</t>
        </is>
      </c>
      <c r="C126" s="15" t="inlineStr">
        <is>
          <t>R10 stamps its bid cooldown after G6</t>
        </is>
      </c>
      <c r="D126" s="28" t="inlineStr">
        <is>
          <t>PASS</t>
        </is>
      </c>
      <c r="E126" s="31" t="n">
        <v>4.3</v>
      </c>
    </row>
    <row r="127">
      <c r="A127" s="15" t="inlineStr">
        <is>
          <t>test/engine.test.ts</t>
        </is>
      </c>
      <c r="B127" s="15" t="inlineStr">
        <is>
          <t>—</t>
        </is>
      </c>
      <c r="C127" s="15" t="inlineStr">
        <is>
          <t>R12 stamps its bid cooldown after G6</t>
        </is>
      </c>
      <c r="D127" s="28" t="inlineStr">
        <is>
          <t>PASS</t>
        </is>
      </c>
      <c r="E127" s="31" t="n">
        <v>9.699999999999999</v>
      </c>
    </row>
    <row r="128">
      <c r="A128" s="15" t="inlineStr">
        <is>
          <t>test/engine.test.ts</t>
        </is>
      </c>
      <c r="B128" s="15" t="inlineStr">
        <is>
          <t>—</t>
        </is>
      </c>
      <c r="C128" s="15" t="inlineStr">
        <is>
          <t>R14 stamps its bid cooldown after G6</t>
        </is>
      </c>
      <c r="D128" s="28" t="inlineStr">
        <is>
          <t>PASS</t>
        </is>
      </c>
      <c r="E128" s="31" t="n">
        <v>8.800000000000001</v>
      </c>
    </row>
    <row r="129">
      <c r="A129" s="15" t="inlineStr">
        <is>
          <t>test/engine.test.ts</t>
        </is>
      </c>
      <c r="B129" s="15" t="inlineStr">
        <is>
          <t>—</t>
        </is>
      </c>
      <c r="C129" s="15" t="inlineStr">
        <is>
          <t>audit stores detached, immutable snapshots</t>
        </is>
      </c>
      <c r="D129" s="28" t="inlineStr">
        <is>
          <t>PASS</t>
        </is>
      </c>
      <c r="E129" s="31" t="n">
        <v>1.1</v>
      </c>
    </row>
    <row r="130">
      <c r="A130" s="15" t="inlineStr">
        <is>
          <t>test/engine.test.ts</t>
        </is>
      </c>
      <c r="B130" s="15" t="inlineStr">
        <is>
          <t>—</t>
        </is>
      </c>
      <c r="C130" s="15" t="inlineStr">
        <is>
          <t>engine derives expiry from PT calendar across DST</t>
        </is>
      </c>
      <c r="D130" s="28" t="inlineStr">
        <is>
          <t>PASS</t>
        </is>
      </c>
      <c r="E130" s="31" t="n">
        <v>0.6</v>
      </c>
    </row>
    <row r="131">
      <c r="A131" s="15" t="inlineStr">
        <is>
          <t>test/engine.test.ts</t>
        </is>
      </c>
      <c r="B131" s="15" t="inlineStr">
        <is>
          <t>—</t>
        </is>
      </c>
      <c r="C131" s="15" t="inlineStr">
        <is>
          <t>engine stamps fallback bid cooldown and records why</t>
        </is>
      </c>
      <c r="D131" s="28" t="inlineStr">
        <is>
          <t>PASS</t>
        </is>
      </c>
      <c r="E131" s="31" t="n">
        <v>0.4</v>
      </c>
    </row>
    <row r="132">
      <c r="A132" s="15" t="inlineStr">
        <is>
          <t>test/engine.test.ts</t>
        </is>
      </c>
      <c r="B132" s="15" t="inlineStr">
        <is>
          <t>—</t>
        </is>
      </c>
      <c r="C132" s="15" t="inlineStr">
        <is>
          <t>no-op preserves cooldown and audit timestamps without fallback reasons</t>
        </is>
      </c>
      <c r="D132" s="28" t="inlineStr">
        <is>
          <t>PASS</t>
        </is>
      </c>
      <c r="E132" s="31" t="n">
        <v>0.3</v>
      </c>
    </row>
    <row r="133">
      <c r="A133" s="15" t="inlineStr">
        <is>
          <t>test/engine.test.ts</t>
        </is>
      </c>
      <c r="B133" s="15" t="inlineStr">
        <is>
          <t>—</t>
        </is>
      </c>
      <c r="C133" s="15" t="inlineStr">
        <is>
          <t>placement change stamps seven days and gates both placement rules</t>
        </is>
      </c>
      <c r="D133" s="28" t="inlineStr">
        <is>
          <t>PASS</t>
        </is>
      </c>
      <c r="E133" s="31" t="n">
        <v>1.9</v>
      </c>
    </row>
    <row r="134">
      <c r="A134" s="15" t="inlineStr">
        <is>
          <t>test/engine.test.ts</t>
        </is>
      </c>
      <c r="B134" s="15" t="inlineStr">
        <is>
          <t>—</t>
        </is>
      </c>
      <c r="C134" s="15" t="inlineStr">
        <is>
          <t>registry preserves all explicit IDs as inert stubs with metadata</t>
        </is>
      </c>
      <c r="D134" s="28" t="inlineStr">
        <is>
          <t>PASS</t>
        </is>
      </c>
      <c r="E134" s="31" t="n">
        <v>49.1</v>
      </c>
    </row>
    <row r="135">
      <c r="A135" s="15" t="inlineStr">
        <is>
          <t>test/engine.test.ts</t>
        </is>
      </c>
      <c r="B135" s="15" t="inlineStr">
        <is>
          <t>—</t>
        </is>
      </c>
      <c r="C135" s="15" t="inlineStr">
        <is>
          <t>rejects engine field write: campaignExpiry</t>
        </is>
      </c>
      <c r="D135" s="28" t="inlineStr">
        <is>
          <t>PASS</t>
        </is>
      </c>
      <c r="E135" s="31" t="n">
        <v>0.2</v>
      </c>
    </row>
    <row r="136">
      <c r="A136" s="15" t="inlineStr">
        <is>
          <t>test/engine.test.ts</t>
        </is>
      </c>
      <c r="B136" s="15" t="inlineStr">
        <is>
          <t>—</t>
        </is>
      </c>
      <c r="C136" s="15" t="inlineStr">
        <is>
          <t>rejects engine field write: campaignWindow</t>
        </is>
      </c>
      <c r="D136" s="28" t="inlineStr">
        <is>
          <t>PASS</t>
        </is>
      </c>
      <c r="E136" s="31" t="n">
        <v>0.2</v>
      </c>
    </row>
    <row r="137">
      <c r="A137" s="15" t="inlineStr">
        <is>
          <t>test/engine.test.ts</t>
        </is>
      </c>
      <c r="B137" s="15" t="inlineStr">
        <is>
          <t>—</t>
        </is>
      </c>
      <c r="C137" s="15" t="inlineStr">
        <is>
          <t>rejects engine field write: targetExpiry</t>
        </is>
      </c>
      <c r="D137" s="28" t="inlineStr">
        <is>
          <t>PASS</t>
        </is>
      </c>
      <c r="E137" s="31" t="n">
        <v>0.3</v>
      </c>
    </row>
    <row r="138">
      <c r="A138" s="15" t="inlineStr">
        <is>
          <t>test/engine.test.ts</t>
        </is>
      </c>
      <c r="B138" s="15" t="inlineStr">
        <is>
          <t>—</t>
        </is>
      </c>
      <c r="C138" s="15" t="inlineStr">
        <is>
          <t>rejects rule writes to engine window fields</t>
        </is>
      </c>
      <c r="D138" s="28" t="inlineStr">
        <is>
          <t>PASS</t>
        </is>
      </c>
      <c r="E138" s="31" t="n">
        <v>0.9</v>
      </c>
    </row>
    <row r="139">
      <c r="A139" s="15" t="inlineStr">
        <is>
          <t>test/engine.test.ts</t>
        </is>
      </c>
      <c r="B139" s="15" t="inlineStr">
        <is>
          <t>—</t>
        </is>
      </c>
      <c r="C139" s="15" t="inlineStr">
        <is>
          <t>state invariants validate campaign cooldown calendar dates</t>
        </is>
      </c>
      <c r="D139" s="28" t="inlineStr">
        <is>
          <t>PASS</t>
        </is>
      </c>
      <c r="E139" s="31" t="n">
        <v>3.1</v>
      </c>
    </row>
    <row r="140">
      <c r="A140" s="15" t="inlineStr">
        <is>
          <t>test/engine.test.ts</t>
        </is>
      </c>
      <c r="B140" s="15" t="inlineStr">
        <is>
          <t>—</t>
        </is>
      </c>
      <c r="C140" s="15" t="inlineStr">
        <is>
          <t>tag gates are optional while emergency and R13 bypass cooldown</t>
        </is>
      </c>
      <c r="D140" s="28" t="inlineStr">
        <is>
          <t>PASS</t>
        </is>
      </c>
      <c r="E140" s="31" t="n">
        <v>12.3</v>
      </c>
    </row>
    <row r="141">
      <c r="A141" s="15" t="inlineStr">
        <is>
          <t>test/events.test.ts</t>
        </is>
      </c>
      <c r="B141" s="15" t="inlineStr">
        <is>
          <t>—</t>
        </is>
      </c>
      <c r="C141" s="15" t="inlineStr">
        <is>
          <t>applies event windows, versioned product changes and next-hour manual edits</t>
        </is>
      </c>
      <c r="D141" s="28" t="inlineStr">
        <is>
          <t>PASS</t>
        </is>
      </c>
      <c r="E141" s="31" t="n">
        <v>70.09999999999999</v>
      </c>
    </row>
    <row r="142">
      <c r="A142" s="15" t="inlineStr">
        <is>
          <t>test/events.test.ts</t>
        </is>
      </c>
      <c r="B142" s="15" t="inlineStr">
        <is>
          <t>—</t>
        </is>
      </c>
      <c r="C142" s="15" t="inlineStr">
        <is>
          <t>campaign facts reconcile with targets and zero-sale coupon orders survive reporting</t>
        </is>
      </c>
      <c r="D142" s="28" t="inlineStr">
        <is>
          <t>PASS</t>
        </is>
      </c>
      <c r="E142" s="31" t="n">
        <v>63.7</v>
      </c>
    </row>
    <row r="143">
      <c r="A143" s="15" t="inlineStr">
        <is>
          <t>test/executor.test.ts</t>
        </is>
      </c>
      <c r="B143" s="15" t="inlineStr">
        <is>
          <t>—</t>
        </is>
      </c>
      <c r="C143" s="15" t="inlineStr">
        <is>
          <t>campaign failure retains name tag budget memory while successful target commits</t>
        </is>
      </c>
      <c r="D143" s="28" t="inlineStr">
        <is>
          <t>PASS</t>
        </is>
      </c>
      <c r="E143" s="31" t="n">
        <v>14.9</v>
      </c>
    </row>
    <row r="144">
      <c r="A144" s="15" t="inlineStr">
        <is>
          <t>test/executor.test.ts</t>
        </is>
      </c>
      <c r="B144" s="15" t="inlineStr">
        <is>
          <t>—</t>
        </is>
      </c>
      <c r="C144" s="15" t="inlineStr">
        <is>
          <t>campaign failure still commits placement acknowledgement and its cooldown</t>
        </is>
      </c>
      <c r="D144" s="28" t="inlineStr">
        <is>
          <t>PASS</t>
        </is>
      </c>
      <c r="E144" s="31" t="n">
        <v>9.6</v>
      </c>
    </row>
    <row r="145">
      <c r="A145" s="15" t="inlineStr">
        <is>
          <t>test/executor.test.ts</t>
        </is>
      </c>
      <c r="B145" s="15" t="inlineStr">
        <is>
          <t>—</t>
        </is>
      </c>
      <c r="C145" s="15" t="inlineStr">
        <is>
          <t>commits campaign tag atomically and retains failed target memory without cooldown</t>
        </is>
      </c>
      <c r="D145" s="28" t="inlineStr">
        <is>
          <t>PASS</t>
        </is>
      </c>
      <c r="E145" s="31" t="n">
        <v>64.3</v>
      </c>
    </row>
    <row r="146">
      <c r="A146" s="15" t="inlineStr">
        <is>
          <t>test/executor.test.ts</t>
        </is>
      </c>
      <c r="B146" s="15" t="inlineStr">
        <is>
          <t>—</t>
        </is>
      </c>
      <c r="C146" s="15" t="inlineStr">
        <is>
          <t>does not retry permanent API errors but lets TypeError escape</t>
        </is>
      </c>
      <c r="D146" s="28" t="inlineStr">
        <is>
          <t>PASS</t>
        </is>
      </c>
      <c r="E146" s="31" t="n">
        <v>7.5</v>
      </c>
    </row>
    <row r="147">
      <c r="A147" s="15" t="inlineStr">
        <is>
          <t>test/executor.test.ts</t>
        </is>
      </c>
      <c r="B147" s="15" t="inlineStr">
        <is>
          <t>—</t>
        </is>
      </c>
      <c r="C147" s="15" t="inlineStr">
        <is>
          <t>every evaluated decision and audit snapshot identify the exact data asOf</t>
        </is>
      </c>
      <c r="D147" s="28" t="inlineStr">
        <is>
          <t>PASS</t>
        </is>
      </c>
      <c r="E147" s="31" t="n">
        <v>4.9</v>
      </c>
    </row>
    <row r="148">
      <c r="A148" s="15" t="inlineStr">
        <is>
          <t>test/executor.test.ts</t>
        </is>
      </c>
      <c r="B148" s="15" t="inlineStr">
        <is>
          <t>—</t>
        </is>
      </c>
      <c r="C148" s="15" t="inlineStr">
        <is>
          <t>failed final R09 restore retains pending recovery for the unacknowledged target</t>
        </is>
      </c>
      <c r="D148" s="28" t="inlineStr">
        <is>
          <t>PASS</t>
        </is>
      </c>
      <c r="E148" s="31" t="n">
        <v>2.2</v>
      </c>
    </row>
    <row r="149">
      <c r="A149" s="15" t="inlineStr">
        <is>
          <t>test/executor.test.ts</t>
        </is>
      </c>
      <c r="B149" s="15" t="inlineStr">
        <is>
          <t>—</t>
        </is>
      </c>
      <c r="C149" s="15" t="inlineStr">
        <is>
          <t>hourly API errors preserve sent bid and retry at next boundary</t>
        </is>
      </c>
      <c r="D149" s="28" t="inlineStr">
        <is>
          <t>PASS</t>
        </is>
      </c>
      <c r="E149" s="31" t="n">
        <v>4</v>
      </c>
    </row>
    <row r="150">
      <c r="A150" s="15" t="inlineStr">
        <is>
          <t>test/executor.test.ts</t>
        </is>
      </c>
      <c r="B150" s="15" t="inlineStr">
        <is>
          <t>—</t>
        </is>
      </c>
      <c r="C150" s="15" t="inlineStr">
        <is>
          <t>partial batch retries only failed entities using stable keys</t>
        </is>
      </c>
      <c r="D150" s="28" t="inlineStr">
        <is>
          <t>PASS</t>
        </is>
      </c>
      <c r="E150" s="31" t="n">
        <v>9.199999999999999</v>
      </c>
    </row>
    <row r="151">
      <c r="A151" s="15" t="inlineStr">
        <is>
          <t>test/executor.test.ts</t>
        </is>
      </c>
      <c r="B151" s="15" t="inlineStr">
        <is>
          <t>—</t>
        </is>
      </c>
      <c r="C151" s="15" t="inlineStr">
        <is>
          <t>target outbound remains safe when the accompanying ToS decrease fails</t>
        </is>
      </c>
      <c r="D151" s="28" t="inlineStr">
        <is>
          <t>PASS</t>
        </is>
      </c>
      <c r="E151" s="31" t="n">
        <v>1.4</v>
      </c>
    </row>
    <row r="152">
      <c r="A152" s="15" t="inlineStr">
        <is>
          <t>test/executor.test.ts</t>
        </is>
      </c>
      <c r="B152" s="15" t="inlineStr">
        <is>
          <t>—</t>
        </is>
      </c>
      <c r="C152" s="15" t="inlineStr">
        <is>
          <t>uses configured attempts and accumulates retry-after without advancing clock</t>
        </is>
      </c>
      <c r="D152" s="28" t="inlineStr">
        <is>
          <t>PASS</t>
        </is>
      </c>
      <c r="E152" s="31" t="n">
        <v>35.5</v>
      </c>
    </row>
    <row r="153">
      <c r="A153" s="15" t="inlineStr">
        <is>
          <t>test/executor.test.ts</t>
        </is>
      </c>
      <c r="B153" s="15" t="inlineStr">
        <is>
          <t>—</t>
        </is>
      </c>
      <c r="C153" s="15" t="inlineStr">
        <is>
          <t>weekly hourly analysis exposes observed evidence and actual factors for measurements</t>
        </is>
      </c>
      <c r="D153" s="28" t="inlineStr">
        <is>
          <t>PASS</t>
        </is>
      </c>
      <c r="E153" s="31" t="n">
        <v>21.6</v>
      </c>
    </row>
    <row r="154">
      <c r="A154" s="15" t="inlineStr">
        <is>
          <t>test/faulty-port.test.ts</t>
        </is>
      </c>
      <c r="B154" s="15" t="inlineStr">
        <is>
          <t>—</t>
        </is>
      </c>
      <c r="C154" s="15" t="inlineStr">
        <is>
          <t>429/5xx retries preserve idempotency and log every call</t>
        </is>
      </c>
      <c r="D154" s="28" t="inlineStr">
        <is>
          <t>PASS</t>
        </is>
      </c>
      <c r="E154" s="31" t="n">
        <v>24.7</v>
      </c>
    </row>
    <row r="155">
      <c r="A155" s="15" t="inlineStr">
        <is>
          <t>test/faulty-port.test.ts</t>
        </is>
      </c>
      <c r="B155" s="15" t="inlineStr">
        <is>
          <t>—</t>
        </is>
      </c>
      <c r="C155" s="15" t="inlineStr">
        <is>
          <t>partial batches commit successes and retry failed elements only</t>
        </is>
      </c>
      <c r="D155" s="28" t="inlineStr">
        <is>
          <t>PASS</t>
        </is>
      </c>
      <c r="E155" s="31" t="n">
        <v>1.9</v>
      </c>
    </row>
    <row r="156">
      <c r="A156" s="15" t="inlineStr">
        <is>
          <t>test/faulty-port.test.ts</t>
        </is>
      </c>
      <c r="B156" s="15" t="inlineStr">
        <is>
          <t>—</t>
        </is>
      </c>
      <c r="C156" s="15" t="inlineStr">
        <is>
          <t>rate-limit windows have exact boundaries</t>
        </is>
      </c>
      <c r="D156" s="28" t="inlineStr">
        <is>
          <t>PASS</t>
        </is>
      </c>
      <c r="E156" s="31" t="n">
        <v>1.5</v>
      </c>
    </row>
    <row r="157">
      <c r="A157" s="15" t="inlineStr">
        <is>
          <t>test/faulty-port.test.ts</t>
        </is>
      </c>
      <c r="B157" s="15" t="inlineStr">
        <is>
          <t>—</t>
        </is>
      </c>
      <c r="C157" s="15" t="inlineStr">
        <is>
          <t>stale reads and invisible creates expire exactly at N minutes</t>
        </is>
      </c>
      <c r="D157" s="28" t="inlineStr">
        <is>
          <t>PASS</t>
        </is>
      </c>
      <c r="E157" s="31" t="n">
        <v>1.2</v>
      </c>
    </row>
    <row r="158">
      <c r="A158" s="15" t="inlineStr">
        <is>
          <t>test/faulty-port.test.ts</t>
        </is>
      </c>
      <c r="B158" s="15" t="inlineStr">
        <is>
          <t>—</t>
        </is>
      </c>
      <c r="C158" s="15" t="inlineStr">
        <is>
          <t>subset retries keep the original batch key without rewriting successful entities</t>
        </is>
      </c>
      <c r="D158" s="28" t="inlineStr">
        <is>
          <t>PASS</t>
        </is>
      </c>
      <c r="E158" s="31" t="n">
        <v>3.7</v>
      </c>
    </row>
    <row r="159">
      <c r="A159" s="15" t="inlineStr">
        <is>
          <t>test/full-account.test.ts</t>
        </is>
      </c>
      <c r="B159" s="15" t="inlineStr">
        <is>
          <t>—</t>
        </is>
      </c>
      <c r="C159" s="15" t="inlineStr">
        <is>
          <t>full-account 60 day fixed seed satisfies all Step 4 smoke expectations</t>
        </is>
      </c>
      <c r="D159" s="28" t="inlineStr">
        <is>
          <t>PASS</t>
        </is>
      </c>
      <c r="E159" s="31" t="n">
        <v>10227.7</v>
      </c>
    </row>
    <row r="160">
      <c r="A160" s="15" t="inlineStr">
        <is>
          <t>test/guards.test.ts</t>
        </is>
      </c>
      <c r="B160" s="15" t="inlineStr">
        <is>
          <t>—</t>
        </is>
      </c>
      <c r="C160" s="15" t="inlineStr">
        <is>
          <t>G6 caps per-change, anchor, product and ToS bounds</t>
        </is>
      </c>
      <c r="D160" s="28" t="inlineStr">
        <is>
          <t>PASS</t>
        </is>
      </c>
      <c r="E160" s="31" t="n">
        <v>2.3</v>
      </c>
    </row>
    <row r="161">
      <c r="A161" s="15" t="inlineStr">
        <is>
          <t>test/guards.test.ts</t>
        </is>
      </c>
      <c r="B161" s="15" t="inlineStr">
        <is>
          <t>—</t>
        </is>
      </c>
      <c r="C161" s="15" t="inlineStr">
        <is>
          <t>G6 prioritizes hard bounds over incompatible soft per-step bounds</t>
        </is>
      </c>
      <c r="D161" s="28" t="inlineStr">
        <is>
          <t>PASS</t>
        </is>
      </c>
      <c r="E161" s="31" t="n">
        <v>0.3</v>
      </c>
    </row>
    <row r="162">
      <c r="A162" s="15" t="inlineStr">
        <is>
          <t>test/guards.test.ts</t>
        </is>
      </c>
      <c r="B162" s="15" t="inlineStr">
        <is>
          <t>—</t>
        </is>
      </c>
      <c r="C162" s="15" t="inlineStr">
        <is>
          <t>G6 rounds inward at fractional-cent ceiling and includes hourly factor</t>
        </is>
      </c>
      <c r="D162" s="28" t="inlineStr">
        <is>
          <t>PASS</t>
        </is>
      </c>
      <c r="E162" s="31" t="n">
        <v>0.5</v>
      </c>
    </row>
    <row r="163">
      <c r="A163" s="15" t="inlineStr">
        <is>
          <t>test/harvest.test.ts</t>
        </is>
      </c>
      <c r="B163" s="15" t="inlineStr">
        <is>
          <t>—</t>
        </is>
      </c>
      <c r="C163" s="15" t="inlineStr">
        <is>
          <t>invisible created keyword cannot cause negative until verified, then exactly once</t>
        </is>
      </c>
      <c r="D163" s="28" t="inlineStr">
        <is>
          <t>PASS</t>
        </is>
      </c>
      <c r="E163" s="31" t="n">
        <v>51.6</v>
      </c>
    </row>
    <row r="164">
      <c r="A164" s="15" t="inlineStr">
        <is>
          <t>test/harvest.test.ts</t>
        </is>
      </c>
      <c r="B164" s="15" t="inlineStr">
        <is>
          <t>—</t>
        </is>
      </c>
      <c r="C164" s="15" t="inlineStr">
        <is>
          <t>verification contains generic API failures retries 503 and notifies exhausted negative writes</t>
        </is>
      </c>
      <c r="D164" s="28" t="inlineStr">
        <is>
          <t>PASS</t>
        </is>
      </c>
      <c r="E164" s="31" t="n">
        <v>3.8</v>
      </c>
    </row>
    <row r="165">
      <c r="A165" s="15" t="inlineStr">
        <is>
          <t>test/harvest.test.ts</t>
        </is>
      </c>
      <c r="B165" s="15" t="inlineStr">
        <is>
          <t>—</t>
        </is>
      </c>
      <c r="C165" s="15" t="inlineStr">
        <is>
          <t>verification timeout never adds a negative</t>
        </is>
      </c>
      <c r="D165" s="28" t="inlineStr">
        <is>
          <t>PASS</t>
        </is>
      </c>
      <c r="E165" s="31" t="n">
        <v>9.4</v>
      </c>
    </row>
    <row r="166">
      <c r="A166" s="15" t="inlineStr">
        <is>
          <t>test/hourly.test.ts</t>
        </is>
      </c>
      <c r="B166" s="15" t="inlineStr">
        <is>
          <t>—</t>
        </is>
      </c>
      <c r="C166" s="15" t="inlineStr">
        <is>
          <t>R21B batches per endpoint, skips unchanged and paused, handles both DST instants</t>
        </is>
      </c>
      <c r="D166" s="28" t="inlineStr">
        <is>
          <t>PASS</t>
        </is>
      </c>
      <c r="E166" s="31" t="n">
        <v>3.1</v>
      </c>
    </row>
    <row r="167">
      <c r="A167" s="15" t="inlineStr">
        <is>
          <t>test/hourly.test.ts</t>
        </is>
      </c>
      <c r="B167" s="15" t="inlineStr">
        <is>
          <t>—</t>
        </is>
      </c>
      <c r="C167" s="15" t="inlineStr">
        <is>
          <t>outbound safety handles stacked reductions, price drop, ToS and tag boost suppression</t>
        </is>
      </c>
      <c r="D167" s="28" t="inlineStr">
        <is>
          <t>PASS</t>
        </is>
      </c>
      <c r="E167" s="31" t="n">
        <v>1.5</v>
      </c>
    </row>
    <row r="168">
      <c r="A168" s="15" t="inlineStr">
        <is>
          <t>test/hourly.test.ts</t>
        </is>
      </c>
      <c r="B168" s="15" t="inlineStr">
        <is>
          <t>—</t>
        </is>
      </c>
      <c r="C168" s="15" t="inlineStr">
        <is>
          <t>registry exposes pure hourly proposals, R21B never changes base or writes outbound entity bid</t>
        </is>
      </c>
      <c r="D168" s="28" t="inlineStr">
        <is>
          <t>PASS</t>
        </is>
      </c>
      <c r="E168" s="31" t="n">
        <v>2.9</v>
      </c>
    </row>
    <row r="169">
      <c r="A169" s="15" t="inlineStr">
        <is>
          <t>test/hourly.test.ts</t>
        </is>
      </c>
      <c r="B169" s="15" t="inlineStr">
        <is>
          <t>—</t>
        </is>
      </c>
      <c r="C169" s="15" t="inlineStr">
        <is>
          <t>weekly analysis skips other weekdays, low samples and paused targets; target scope isolates evidence</t>
        </is>
      </c>
      <c r="D169" s="28" t="inlineStr">
        <is>
          <t>PASS</t>
        </is>
      </c>
      <c r="E169" s="31" t="n">
        <v>2.4</v>
      </c>
    </row>
    <row r="170">
      <c r="A170" s="15" t="inlineStr">
        <is>
          <t>test/hourly.test.ts</t>
        </is>
      </c>
      <c r="B170" s="15" t="inlineStr">
        <is>
          <t>—</t>
        </is>
      </c>
      <c r="C170" s="15" t="inlineStr">
        <is>
          <t>weekly campaign scope analyzes each hour: R20 then R21, neutral elsewhere</t>
        </is>
      </c>
      <c r="D170" s="28" t="inlineStr">
        <is>
          <t>PASS</t>
        </is>
      </c>
      <c r="E170" s="31" t="n">
        <v>32.4</v>
      </c>
    </row>
    <row r="171">
      <c r="A171" s="15" t="inlineStr">
        <is>
          <t>test/market.test.ts</t>
        </is>
      </c>
      <c r="B171" s="15" t="inlineStr">
        <is>
          <t>seeded world</t>
        </is>
      </c>
      <c r="C171" s="15" t="inlineStr">
        <is>
          <t>caps all later hours and manual edits start next hour</t>
        </is>
      </c>
      <c r="D171" s="28" t="inlineStr">
        <is>
          <t>PASS</t>
        </is>
      </c>
      <c r="E171" s="31" t="n">
        <v>17.2</v>
      </c>
    </row>
    <row r="172">
      <c r="A172" s="15" t="inlineStr">
        <is>
          <t>test/market.test.ts</t>
        </is>
      </c>
      <c r="B172" s="15" t="inlineStr">
        <is>
          <t>seeded world</t>
        </is>
      </c>
      <c r="C172" s="15" t="inlineStr">
        <is>
          <t>forks are independent and distributions handle boundaries</t>
        </is>
      </c>
      <c r="D172" s="28" t="inlineStr">
        <is>
          <t>PASS</t>
        </is>
      </c>
      <c r="E172" s="31" t="n">
        <v>1.5</v>
      </c>
    </row>
    <row r="173">
      <c r="A173" s="15" t="inlineStr">
        <is>
          <t>test/market.test.ts</t>
        </is>
      </c>
      <c r="B173" s="15" t="inlineStr">
        <is>
          <t>seeded world</t>
        </is>
      </c>
      <c r="C173" s="15" t="inlineStr">
        <is>
          <t>has monotone expected traffic, bounded CPC, paused traffic and budget cap</t>
        </is>
      </c>
      <c r="D173" s="28" t="inlineStr">
        <is>
          <t>PASS</t>
        </is>
      </c>
      <c r="E173" s="31" t="n">
        <v>21</v>
      </c>
    </row>
    <row r="174">
      <c r="A174" s="15" t="inlineStr">
        <is>
          <t>test/market.test.ts</t>
        </is>
      </c>
      <c r="B174" s="15" t="inlineStr">
        <is>
          <t>seeded world</t>
        </is>
      </c>
      <c r="C174" s="15" t="inlineStr">
        <is>
          <t>replays identically, changes with seed, and isolates target streams</t>
        </is>
      </c>
      <c r="D174" s="28" t="inlineStr">
        <is>
          <t>PASS</t>
        </is>
      </c>
      <c r="E174" s="31" t="n">
        <v>146.7</v>
      </c>
    </row>
    <row r="175">
      <c r="A175" s="15" t="inlineStr">
        <is>
          <t>test/market.test.ts</t>
        </is>
      </c>
      <c r="B175" s="15" t="inlineStr">
        <is>
          <t>seeded world</t>
        </is>
      </c>
      <c r="C175" s="15" t="inlineStr">
        <is>
          <t>restates delayed orders, returns and never leaks future facts</t>
        </is>
      </c>
      <c r="D175" s="28" t="inlineStr">
        <is>
          <t>PASS</t>
        </is>
      </c>
      <c r="E175" s="31" t="n">
        <v>64.7</v>
      </c>
    </row>
    <row r="176">
      <c r="A176" s="15" t="inlineStr">
        <is>
          <t>test/market.test.ts</t>
        </is>
      </c>
      <c r="B176" s="15" t="inlineStr">
        <is>
          <t>seeded world</t>
        </is>
      </c>
      <c r="C176" s="15" t="inlineStr">
        <is>
          <t>validates all examples and gives field paths</t>
        </is>
      </c>
      <c r="D176" s="28" t="inlineStr">
        <is>
          <t>PASS</t>
        </is>
      </c>
      <c r="E176" s="31" t="n">
        <v>7.4</v>
      </c>
    </row>
    <row r="177">
      <c r="A177" s="15" t="inlineStr">
        <is>
          <t>test/market.test.ts</t>
        </is>
      </c>
      <c r="B177" s="15" t="inlineStr">
        <is>
          <t>seeded world</t>
        </is>
      </c>
      <c r="C177" s="15" t="inlineStr">
        <is>
          <t>zero lag is stable and hourly agrees with daily across both DST transitions</t>
        </is>
      </c>
      <c r="D177" s="28" t="inlineStr">
        <is>
          <t>PASS</t>
        </is>
      </c>
      <c r="E177" s="31" t="n">
        <v>37</v>
      </c>
    </row>
    <row r="178">
      <c r="A178" s="15" t="inlineStr">
        <is>
          <t>test/market.test.ts</t>
        </is>
      </c>
      <c r="B178" s="15" t="inlineStr">
        <is>
          <t>target RNG identity</t>
        </is>
      </c>
      <c r="C178" s="15" t="inlineStr">
        <is>
          <t>preserves all facts across target text case and whitespace variants</t>
        </is>
      </c>
      <c r="D178" s="28" t="inlineStr">
        <is>
          <t>PASS</t>
        </is>
      </c>
      <c r="E178" s="31" t="n">
        <v>147.4</v>
      </c>
    </row>
    <row r="179">
      <c r="A179" s="15" t="inlineStr">
        <is>
          <t>test/market.test.ts</t>
        </is>
      </c>
      <c r="B179" s="15" t="inlineStr">
        <is>
          <t>target RNG identity</t>
        </is>
      </c>
      <c r="C179" s="15" t="inlineStr">
        <is>
          <t>preserves all facts when only a target ID changes within its campaign</t>
        </is>
      </c>
      <c r="D179" s="28" t="inlineStr">
        <is>
          <t>PASS</t>
        </is>
      </c>
      <c r="E179" s="31" t="n">
        <v>69.59999999999999</v>
      </c>
    </row>
    <row r="180">
      <c r="A180" s="15" t="inlineStr">
        <is>
          <t>test/market.test.ts</t>
        </is>
      </c>
      <c r="B180" s="15" t="inlineStr">
        <is>
          <t>target RNG identity</t>
        </is>
      </c>
      <c r="C180" s="15" t="inlineStr">
        <is>
          <t>samples identical targets independently across uncapped campaigns over forty days</t>
        </is>
      </c>
      <c r="D180" s="28" t="inlineStr">
        <is>
          <t>PASS</t>
        </is>
      </c>
      <c r="E180" s="31" t="n">
        <v>899.6</v>
      </c>
    </row>
    <row r="181">
      <c r="A181" s="15" t="inlineStr">
        <is>
          <t>test/market.test.ts</t>
        </is>
      </c>
      <c r="B181" s="15" t="inlineStr">
        <is>
          <t>—</t>
        </is>
      </c>
      <c r="C181" s="15" t="inlineStr">
        <is>
          <t>hourly noise keeps click counts nonnegative and CPC below the submitted bid</t>
        </is>
      </c>
      <c r="D181" s="28" t="inlineStr">
        <is>
          <t>PASS</t>
        </is>
      </c>
      <c r="E181" s="31" t="n">
        <v>14.5</v>
      </c>
    </row>
    <row r="182">
      <c r="A182" s="15" t="inlineStr">
        <is>
          <t>test/market.test.ts</t>
        </is>
      </c>
      <c r="B182" s="15" t="inlineStr">
        <is>
          <t>—</t>
        </is>
      </c>
      <c r="C182" s="15" t="inlineStr">
        <is>
          <t>storm grows between D+2 and D+14 and every hourly release waits for completion</t>
        </is>
      </c>
      <c r="D182" s="28" t="inlineStr">
        <is>
          <t>PASS</t>
        </is>
      </c>
      <c r="E182" s="31" t="n">
        <v>24.7</v>
      </c>
    </row>
    <row r="183">
      <c r="A183" s="15" t="inlineStr">
        <is>
          <t>test/measurement-controls.test.ts</t>
        </is>
      </c>
      <c r="B183" s="15" t="inlineStr">
        <is>
          <t>—</t>
        </is>
      </c>
      <c r="C183" s="15" t="inlineStr">
        <is>
          <t>detects premature real-market decisions with immediate attribution as negative control</t>
        </is>
      </c>
      <c r="D183" s="28" t="inlineStr">
        <is>
          <t>PASS</t>
        </is>
      </c>
      <c r="E183" s="31" t="n">
        <v>2452.9</v>
      </c>
    </row>
    <row r="184">
      <c r="A184" s="15" t="inlineStr">
        <is>
          <t>test/measurement-controls.test.ts</t>
        </is>
      </c>
      <c r="B184" s="15" t="inlineStr">
        <is>
          <t>—</t>
        </is>
      </c>
      <c r="C184" s="15" t="inlineStr">
        <is>
          <t>hourly signal changes both factors and submits changed boundaries once</t>
        </is>
      </c>
      <c r="D184" s="28" t="inlineStr">
        <is>
          <t>PASS</t>
        </is>
      </c>
      <c r="E184" s="31" t="n">
        <v>9040.799999999999</v>
      </c>
    </row>
    <row r="185">
      <c r="A185" s="15" t="inlineStr">
        <is>
          <t>test/measurement-controls.test.ts</t>
        </is>
      </c>
      <c r="B185" s="15" t="inlineStr">
        <is>
          <t>—</t>
        </is>
      </c>
      <c r="C185" s="15" t="inlineStr">
        <is>
          <t>marginal account varies decisions and percentiles across eight seeds</t>
        </is>
      </c>
      <c r="D185" s="28" t="inlineStr">
        <is>
          <t>PASS</t>
        </is>
      </c>
      <c r="E185" s="31" t="n">
        <v>18306.3</v>
      </c>
    </row>
    <row r="186">
      <c r="A186" s="15" t="inlineStr">
        <is>
          <t>test/montecarlo.test.ts</t>
        </is>
      </c>
      <c r="B186" s="15" t="inlineStr">
        <is>
          <t>Monte Carlo deterministic summaries</t>
        </is>
      </c>
      <c r="C186" s="15" t="inlineStr">
        <is>
          <t>applies typed existing configuration paths without mutation</t>
        </is>
      </c>
      <c r="D186" s="28" t="inlineStr">
        <is>
          <t>PASS</t>
        </is>
      </c>
      <c r="E186" s="31" t="n">
        <v>2.1</v>
      </c>
    </row>
    <row r="187">
      <c r="A187" s="15" t="inlineStr">
        <is>
          <t>test/montecarlo.test.ts</t>
        </is>
      </c>
      <c r="B187" s="15" t="inlineStr">
        <is>
          <t>Monte Carlo deterministic summaries</t>
        </is>
      </c>
      <c r="C187" s="15" t="inlineStr">
        <is>
          <t>includes zero notifications in runs where an event did not occur</t>
        </is>
      </c>
      <c r="D187" s="28" t="inlineStr">
        <is>
          <t>PASS</t>
        </is>
      </c>
      <c r="E187" s="31" t="n">
        <v>0.2</v>
      </c>
    </row>
    <row r="188">
      <c r="A188" s="15" t="inlineStr">
        <is>
          <t>test/montecarlo.test.ts</t>
        </is>
      </c>
      <c r="B188" s="15" t="inlineStr">
        <is>
          <t>Monte Carlo deterministic summaries</t>
        </is>
      </c>
      <c r="C188" s="15" t="inlineStr">
        <is>
          <t>uses interpolated percentiles and excludes null unreached tiers</t>
        </is>
      </c>
      <c r="D188" s="28" t="inlineStr">
        <is>
          <t>PASS</t>
        </is>
      </c>
      <c r="E188" s="31" t="n">
        <v>3.8</v>
      </c>
    </row>
    <row r="189">
      <c r="A189" s="15" t="inlineStr">
        <is>
          <t>test/montecarlo.test.ts</t>
        </is>
      </c>
      <c r="B189" s="15" t="inlineStr">
        <is>
          <t>—</t>
        </is>
      </c>
      <c r="C189" s="15" t="inlineStr">
        <is>
          <t>comparison includes notifications that occur only in one configuration</t>
        </is>
      </c>
      <c r="D189" s="28" t="inlineStr">
        <is>
          <t>PASS</t>
        </is>
      </c>
      <c r="E189" s="31" t="n">
        <v>0.2</v>
      </c>
    </row>
    <row r="190">
      <c r="A190" s="15" t="inlineStr">
        <is>
          <t>test/montecarlo.test.ts</t>
        </is>
      </c>
      <c r="B190" s="15" t="inlineStr">
        <is>
          <t>—</t>
        </is>
      </c>
      <c r="C190" s="15" t="inlineStr">
        <is>
          <t>counts only R05B zero-order decisions and does not accept mature R05A as the same condition</t>
        </is>
      </c>
      <c r="D190" s="28" t="inlineStr">
        <is>
          <t>PASS</t>
        </is>
      </c>
      <c r="E190" s="31" t="n">
        <v>21.7</v>
      </c>
    </row>
    <row r="191">
      <c r="A191" s="15" t="inlineStr">
        <is>
          <t>test/montecarlo.test.ts</t>
        </is>
      </c>
      <c r="B191" s="15" t="inlineStr">
        <is>
          <t>—</t>
        </is>
      </c>
      <c r="C191" s="15" t="inlineStr">
        <is>
          <t>counts physical wasted spend once across target, term, and campaign actions</t>
        </is>
      </c>
      <c r="D191" s="28" t="inlineStr">
        <is>
          <t>PASS</t>
        </is>
      </c>
      <c r="E191" s="31" t="n">
        <v>2.9</v>
      </c>
    </row>
    <row r="192">
      <c r="A192" s="15" t="inlineStr">
        <is>
          <t>test/montecarlo.test.ts</t>
        </is>
      </c>
      <c r="B192" s="15" t="inlineStr">
        <is>
          <t>—</t>
        </is>
      </c>
      <c r="C192" s="15" t="inlineStr">
        <is>
          <t>reevaluates the original R12 window with mature orders and original decision state</t>
        </is>
      </c>
      <c r="D192" s="28" t="inlineStr">
        <is>
          <t>PASS</t>
        </is>
      </c>
      <c r="E192" s="31" t="n">
        <v>1033.5</v>
      </c>
    </row>
    <row r="193">
      <c r="A193" s="15" t="inlineStr">
        <is>
          <t>test/montecarlo.test.ts</t>
        </is>
      </c>
      <c r="B193" s="15" t="inlineStr">
        <is>
          <t>—</t>
        </is>
      </c>
      <c r="C193" s="15" t="inlineStr">
        <is>
          <t>runs three seeds deterministically across worker counts and writes comparison artifacts</t>
        </is>
      </c>
      <c r="D193" s="28" t="inlineStr">
        <is>
          <t>PASS</t>
        </is>
      </c>
      <c r="E193" s="31" t="n">
        <v>2172.4</v>
      </c>
    </row>
    <row r="194">
      <c r="A194" s="15" t="inlineStr">
        <is>
          <t>test/offline.test.ts</t>
        </is>
      </c>
      <c r="B194" s="15" t="inlineStr">
        <is>
          <t>—</t>
        </is>
      </c>
      <c r="C194" s="15" t="inlineStr">
        <is>
          <t>enforces offline source and absence of ambient wall-clock reads</t>
        </is>
      </c>
      <c r="D194" s="28" t="inlineStr">
        <is>
          <t>PASS</t>
        </is>
      </c>
      <c r="E194" s="31" t="n">
        <v>15.6</v>
      </c>
    </row>
    <row r="195">
      <c r="A195" s="15" t="inlineStr">
        <is>
          <t>test/placement.test.ts</t>
        </is>
      </c>
      <c r="B195" s="15" t="inlineStr">
        <is>
          <t>—</t>
        </is>
      </c>
      <c r="C195" s="15" t="inlineStr">
        <is>
          <t>R18 cap rejection returns null and TOS_CAP audit</t>
        </is>
      </c>
      <c r="D195" s="28" t="inlineStr">
        <is>
          <t>PASS</t>
        </is>
      </c>
      <c r="E195" s="31" t="n">
        <v>2.7</v>
      </c>
    </row>
    <row r="196">
      <c r="A196" s="15" t="inlineStr">
        <is>
          <t>test/placement.test.ts</t>
        </is>
      </c>
      <c r="B196" s="15" t="inlineStr">
        <is>
          <t>—</t>
        </is>
      </c>
      <c r="C196" s="15" t="inlineStr">
        <is>
          <t>R18 evaluates REST CVR zero literally, preserves target base</t>
        </is>
      </c>
      <c r="D196" s="28" t="inlineStr">
        <is>
          <t>PASS</t>
        </is>
      </c>
      <c r="E196" s="31" t="n">
        <v>36.7</v>
      </c>
    </row>
    <row r="197">
      <c r="A197" s="15" t="inlineStr">
        <is>
          <t>test/placement.test.ts</t>
        </is>
      </c>
      <c r="B197" s="15" t="inlineStr">
        <is>
          <t>—</t>
        </is>
      </c>
      <c r="C197" s="15" t="inlineStr">
        <is>
          <t>R19 infinite ACoS lowers ToS, including zero-order TOP</t>
        </is>
      </c>
      <c r="D197" s="28" t="inlineStr">
        <is>
          <t>PASS</t>
        </is>
      </c>
      <c r="E197" s="31" t="n">
        <v>2.2</v>
      </c>
    </row>
    <row r="198">
      <c r="A198" s="15" t="inlineStr">
        <is>
          <t>test/placement.test.ts</t>
        </is>
      </c>
      <c r="B198" s="15" t="inlineStr">
        <is>
          <t>—</t>
        </is>
      </c>
      <c r="C198" s="15" t="inlineStr">
        <is>
          <t>placement boundaries and minimum post days</t>
        </is>
      </c>
      <c r="D198" s="28" t="inlineStr">
        <is>
          <t>PASS</t>
        </is>
      </c>
      <c r="E198" s="31" t="n">
        <v>5.8</v>
      </c>
    </row>
    <row r="199">
      <c r="A199" s="15" t="inlineStr">
        <is>
          <t>test/reconcile.test.ts</t>
        </is>
      </c>
      <c r="B199" s="15" t="inlineStr">
        <is>
          <t>—</t>
        </is>
      </c>
      <c r="C199" s="15" t="inlineStr">
        <is>
          <t>PAUSED_AUTO requires actual console enable before R01 confirmation</t>
        </is>
      </c>
      <c r="D199" s="28" t="inlineStr">
        <is>
          <t>PASS</t>
        </is>
      </c>
      <c r="E199" s="31" t="n">
        <v>1.6</v>
      </c>
    </row>
    <row r="200">
      <c r="A200" s="15" t="inlineStr">
        <is>
          <t>test/reconcile.test.ts</t>
        </is>
      </c>
      <c r="B200" s="15" t="inlineStr">
        <is>
          <t>—</t>
        </is>
      </c>
      <c r="C200" s="15" t="inlineStr">
        <is>
          <t>placement-only ack protects stale ToS read independently of campaign ack</t>
        </is>
      </c>
      <c r="D200" s="28" t="inlineStr">
        <is>
          <t>PASS</t>
        </is>
      </c>
      <c r="E200" s="31" t="n">
        <v>1.6</v>
      </c>
    </row>
    <row r="201">
      <c r="A201" s="15" t="inlineStr">
        <is>
          <t>test/reconcile.test.ts</t>
        </is>
      </c>
      <c r="B201" s="15" t="inlineStr">
        <is>
          <t>—</t>
        </is>
      </c>
      <c r="C201" s="15" t="inlineStr">
        <is>
          <t>reads campaign and all target kinds from Amazon and accepts console drift preserving window anchor cooldown</t>
        </is>
      </c>
      <c r="D201" s="28" t="inlineStr">
        <is>
          <t>PASS</t>
        </is>
      </c>
      <c r="E201" s="31" t="n">
        <v>40.2</v>
      </c>
    </row>
    <row r="202">
      <c r="A202" s="15" t="inlineStr">
        <is>
          <t>test/reconcile.test.ts</t>
        </is>
      </c>
      <c r="B202" s="15" t="inlineStr">
        <is>
          <t>—</t>
        </is>
      </c>
      <c r="C202" s="15" t="inlineStr">
        <is>
          <t>stale reads never undo a recently acknowledged bid and frozen run reads survive replay</t>
        </is>
      </c>
      <c r="D202" s="28" t="inlineStr">
        <is>
          <t>PASS</t>
        </is>
      </c>
      <c r="E202" s="31" t="n">
        <v>2.6</v>
      </c>
    </row>
    <row r="203">
      <c r="A203" s="15" t="inlineStr">
        <is>
          <t>test/reconcile.test.ts</t>
        </is>
      </c>
      <c r="B203" s="15" t="inlineStr">
        <is>
          <t>—</t>
        </is>
      </c>
      <c r="C203" s="15" t="inlineStr">
        <is>
          <t>trust-engine retries partial target repair and reports permanent failure</t>
        </is>
      </c>
      <c r="D203" s="28" t="inlineStr">
        <is>
          <t>PASS</t>
        </is>
      </c>
      <c r="E203" s="31" t="n">
        <v>1.6</v>
      </c>
    </row>
    <row r="204">
      <c r="A204" s="15" t="inlineStr">
        <is>
          <t>test/reconcile.test.ts</t>
        </is>
      </c>
      <c r="B204" s="15" t="inlineStr">
        <is>
          <t>—</t>
        </is>
      </c>
      <c r="C204" s="15" t="inlineStr">
        <is>
          <t>trust-engine writes Amazon back and leaves engine unchanged</t>
        </is>
      </c>
      <c r="D204" s="28" t="inlineStr">
        <is>
          <t>PASS</t>
        </is>
      </c>
      <c r="E204" s="31" t="n">
        <v>2.7</v>
      </c>
    </row>
    <row r="205">
      <c r="A205" s="15" t="inlineStr">
        <is>
          <t>test/regressions.test.ts</t>
        </is>
      </c>
      <c r="B205" s="15" t="inlineStr">
        <is>
          <t>—</t>
        </is>
      </c>
      <c r="C205" s="15" t="inlineStr">
        <is>
          <t>14 day fixture is compact, fast and deterministic</t>
        </is>
      </c>
      <c r="D205" s="28" t="inlineStr">
        <is>
          <t>PASS</t>
        </is>
      </c>
      <c r="E205" s="31" t="n">
        <v>200.5</v>
      </c>
    </row>
    <row r="206">
      <c r="A206" s="15" t="inlineStr">
        <is>
          <t>test/regressions.test.ts</t>
        </is>
      </c>
      <c r="B206" s="15" t="inlineStr">
        <is>
          <t>—</t>
        </is>
      </c>
      <c r="C206" s="15" t="inlineStr">
        <is>
          <t>20 targets over 60 days runs below ten seconds</t>
        </is>
      </c>
      <c r="D206" s="28" t="inlineStr">
        <is>
          <t>PASS</t>
        </is>
      </c>
      <c r="E206" s="31" t="n">
        <v>4838.8</v>
      </c>
    </row>
    <row r="207">
      <c r="A207" s="15" t="inlineStr">
        <is>
          <t>test/regressions.test.ts</t>
        </is>
      </c>
      <c r="B207" s="15" t="inlineStr">
        <is>
          <t>—</t>
        </is>
      </c>
      <c r="C207" s="15" t="inlineStr">
        <is>
          <t>all campaign hourly restatements include every target</t>
        </is>
      </c>
      <c r="D207" s="28" t="inlineStr">
        <is>
          <t>PASS</t>
        </is>
      </c>
      <c r="E207" s="31" t="n">
        <v>153.4</v>
      </c>
    </row>
    <row r="208">
      <c r="A208" s="15" t="inlineStr">
        <is>
          <t>test/regressions.test.ts</t>
        </is>
      </c>
      <c r="B208" s="15" t="inlineStr">
        <is>
          <t>—</t>
        </is>
      </c>
      <c r="C208" s="15" t="inlineStr">
        <is>
          <t>batch binomial skips failures instead of drawing for every impression</t>
        </is>
      </c>
      <c r="D208" s="28" t="inlineStr">
        <is>
          <t>PASS</t>
        </is>
      </c>
      <c r="E208" s="31" t="n">
        <v>35.3</v>
      </c>
    </row>
    <row r="209">
      <c r="A209" s="15" t="inlineStr">
        <is>
          <t>test/regressions.test.ts</t>
        </is>
      </c>
      <c r="B209" s="15" t="inlineStr">
        <is>
          <t>—</t>
        </is>
      </c>
      <c r="C209" s="15" t="inlineStr">
        <is>
          <t>daily release maturity is exactly P(lag &lt;= 1) at D-2; returns use release boundaries</t>
        </is>
      </c>
      <c r="D209" s="28" t="inlineStr">
        <is>
          <t>PASS</t>
        </is>
      </c>
      <c r="E209" s="31" t="n">
        <v>3.4</v>
      </c>
    </row>
    <row r="210">
      <c r="A210" s="15" t="inlineStr">
        <is>
          <t>test/regressions.test.ts</t>
        </is>
      </c>
      <c r="B210" s="15" t="inlineStr">
        <is>
          <t>—</t>
        </is>
      </c>
      <c r="C210" s="15" t="inlineStr">
        <is>
          <t>fact versions change metrics, omit never-used zero dimensions, and restore zero after returns</t>
        </is>
      </c>
      <c r="D210" s="28" t="inlineStr">
        <is>
          <t>PASS</t>
        </is>
      </c>
      <c r="E210" s="31" t="n">
        <v>102.4</v>
      </c>
    </row>
    <row r="211">
      <c r="A211" s="15" t="inlineStr">
        <is>
          <t>test/regressions.test.ts</t>
        </is>
      </c>
      <c r="B211" s="15" t="inlineStr">
        <is>
          <t>—</t>
        </is>
      </c>
      <c r="C211" s="15" t="inlineStr">
        <is>
          <t>golden has forty days, realistic depletion and winner economics by expectation</t>
        </is>
      </c>
      <c r="D211" s="28" t="inlineStr">
        <is>
          <t>PASS</t>
        </is>
      </c>
      <c r="E211" s="31" t="n">
        <v>0.7</v>
      </c>
    </row>
    <row r="212">
      <c r="A212" s="15" t="inlineStr">
        <is>
          <t>test/regressions.test.ts</t>
        </is>
      </c>
      <c r="B212" s="15" t="inlineStr">
        <is>
          <t>—</t>
        </is>
      </c>
      <c r="C212" s="15" t="inlineStr">
        <is>
          <t>indexed entity queries equal linear snapshots on three scenarios</t>
        </is>
      </c>
      <c r="D212" s="28" t="inlineStr">
        <is>
          <t>PASS</t>
        </is>
      </c>
      <c r="E212" s="31" t="n">
        <v>1303.7</v>
      </c>
    </row>
    <row r="213">
      <c r="A213" s="15" t="inlineStr">
        <is>
          <t>test/regressions.test.ts</t>
        </is>
      </c>
      <c r="B213" s="15" t="inlineStr">
        <is>
          <t>—</t>
        </is>
      </c>
      <c r="C213" s="15" t="inlineStr">
        <is>
          <t>lag 1 waits for second daily release, lag 0 is in first stream and daily</t>
        </is>
      </c>
      <c r="D213" s="28" t="inlineStr">
        <is>
          <t>PASS</t>
        </is>
      </c>
      <c r="E213" s="31" t="n">
        <v>61.3</v>
      </c>
    </row>
    <row r="214">
      <c r="A214" s="15" t="inlineStr">
        <is>
          <t>test/regressions.test.ts</t>
        </is>
      </c>
      <c r="B214" s="15" t="inlineStr">
        <is>
          <t>—</t>
        </is>
      </c>
      <c r="C214" s="15" t="inlineStr">
        <is>
          <t>lag 14 first appears on daily release 15; only returns have a D+14 ceiling</t>
        </is>
      </c>
      <c r="D214" s="28" t="inlineStr">
        <is>
          <t>PASS</t>
        </is>
      </c>
      <c r="E214" s="31" t="n">
        <v>12</v>
      </c>
    </row>
    <row r="215">
      <c r="A215" s="15" t="inlineStr">
        <is>
          <t>test/regressions.test.ts</t>
        </is>
      </c>
      <c r="B215" s="15" t="inlineStr">
        <is>
          <t>—</t>
        </is>
      </c>
      <c r="C215" s="15" t="inlineStr">
        <is>
          <t>renaming target IDs leaves role totals unchanged; unconstrained demand matches solo</t>
        </is>
      </c>
      <c r="D215" s="28" t="inlineStr">
        <is>
          <t>PASS</t>
        </is>
      </c>
      <c r="E215" s="31" t="n">
        <v>281.5</v>
      </c>
    </row>
    <row r="216">
      <c r="A216" s="15" t="inlineStr">
        <is>
          <t>test/regressions.test.ts</t>
        </is>
      </c>
      <c r="B216" s="15" t="inlineStr">
        <is>
          <t>—</t>
        </is>
      </c>
      <c r="C216" s="15" t="inlineStr">
        <is>
          <t>shared budget is fair for identical targets</t>
        </is>
      </c>
      <c r="D216" s="28" t="inlineStr">
        <is>
          <t>PASS</t>
        </is>
      </c>
      <c r="E216" s="31" t="n">
        <v>127.6</v>
      </c>
    </row>
    <row r="217">
      <c r="A217" s="15" t="inlineStr">
        <is>
          <t>test/report.test.ts</t>
        </is>
      </c>
      <c r="B217" s="15" t="inlineStr">
        <is>
          <t>report renderer</t>
        </is>
      </c>
      <c r="C217" s="15" t="inlineStr">
        <is>
          <t>renders deterministic self-contained HTML and equivalent markdown evidence</t>
        </is>
      </c>
      <c r="D217" s="28" t="inlineStr">
        <is>
          <t>PASS</t>
        </is>
      </c>
      <c r="E217" s="31" t="n">
        <v>14.5</v>
      </c>
    </row>
    <row r="218">
      <c r="A218" s="15" t="inlineStr">
        <is>
          <t>test/report.test.ts</t>
        </is>
      </c>
      <c r="B218" s="15" t="inlineStr">
        <is>
          <t>—</t>
        </is>
      </c>
      <c r="C218" s="15" t="inlineStr">
        <is>
          <t>labels premature as rule-relative and displays truth and delay metrics</t>
        </is>
      </c>
      <c r="D218" s="28" t="inlineStr">
        <is>
          <t>PASS</t>
        </is>
      </c>
      <c r="E218" s="31" t="n">
        <v>0.6</v>
      </c>
    </row>
    <row r="219">
      <c r="A219" s="15" t="inlineStr">
        <is>
          <t>test/report.test.ts</t>
        </is>
      </c>
      <c r="B219" s="15" t="inlineStr">
        <is>
          <t>—</t>
        </is>
      </c>
      <c r="C219" s="15" t="inlineStr">
        <is>
          <t>reads all result files and preserves measured evidence in both outputs</t>
        </is>
      </c>
      <c r="D219" s="28" t="inlineStr">
        <is>
          <t>PASS</t>
        </is>
      </c>
      <c r="E219" s="31" t="n">
        <v>6.1</v>
      </c>
    </row>
    <row r="220">
      <c r="A220" s="15" t="inlineStr">
        <is>
          <t>test/review.test.ts</t>
        </is>
      </c>
      <c r="B220" s="15" t="inlineStr">
        <is>
          <t>—</t>
        </is>
      </c>
      <c r="C220" s="15" t="inlineStr">
        <is>
          <t>review 1 exact budget ladder and multiplication</t>
        </is>
      </c>
      <c r="D220" s="28" t="inlineStr">
        <is>
          <t>PASS</t>
        </is>
      </c>
      <c r="E220" s="31" t="n">
        <v>1.9</v>
      </c>
    </row>
    <row r="221">
      <c r="A221" s="15" t="inlineStr">
        <is>
          <t>test/review.test.ts</t>
        </is>
      </c>
      <c r="B221" s="15" t="inlineStr">
        <is>
          <t>—</t>
        </is>
      </c>
      <c r="C221" s="15" t="inlineStr">
        <is>
          <t>review 2 metadata R01</t>
        </is>
      </c>
      <c r="D221" s="28" t="inlineStr">
        <is>
          <t>PASS</t>
        </is>
      </c>
      <c r="E221" s="31" t="n">
        <v>0.3</v>
      </c>
    </row>
    <row r="222">
      <c r="A222" s="15" t="inlineStr">
        <is>
          <t>test/review.test.ts</t>
        </is>
      </c>
      <c r="B222" s="15" t="inlineStr">
        <is>
          <t>—</t>
        </is>
      </c>
      <c r="C222" s="15" t="inlineStr">
        <is>
          <t>review 2 metadata R02</t>
        </is>
      </c>
      <c r="D222" s="28" t="inlineStr">
        <is>
          <t>PASS</t>
        </is>
      </c>
      <c r="E222" s="31" t="n">
        <v>0.1</v>
      </c>
    </row>
    <row r="223">
      <c r="A223" s="15" t="inlineStr">
        <is>
          <t>test/review.test.ts</t>
        </is>
      </c>
      <c r="B223" s="15" t="inlineStr">
        <is>
          <t>—</t>
        </is>
      </c>
      <c r="C223" s="15" t="inlineStr">
        <is>
          <t>review 2 metadata R03</t>
        </is>
      </c>
      <c r="D223" s="28" t="inlineStr">
        <is>
          <t>PASS</t>
        </is>
      </c>
      <c r="E223" s="31" t="n">
        <v>0.1</v>
      </c>
    </row>
    <row r="224">
      <c r="A224" s="15" t="inlineStr">
        <is>
          <t>test/review.test.ts</t>
        </is>
      </c>
      <c r="B224" s="15" t="inlineStr">
        <is>
          <t>—</t>
        </is>
      </c>
      <c r="C224" s="15" t="inlineStr">
        <is>
          <t>review 2 metadata R04</t>
        </is>
      </c>
      <c r="D224" s="28" t="inlineStr">
        <is>
          <t>PASS</t>
        </is>
      </c>
      <c r="E224" s="31" t="n">
        <v>0.1</v>
      </c>
    </row>
    <row r="225">
      <c r="A225" s="15" t="inlineStr">
        <is>
          <t>test/review.test.ts</t>
        </is>
      </c>
      <c r="B225" s="15" t="inlineStr">
        <is>
          <t>—</t>
        </is>
      </c>
      <c r="C225" s="15" t="inlineStr">
        <is>
          <t>review 2 metadata R04B</t>
        </is>
      </c>
      <c r="D225" s="28" t="inlineStr">
        <is>
          <t>PASS</t>
        </is>
      </c>
      <c r="E225" s="31" t="n">
        <v>0.1</v>
      </c>
    </row>
    <row r="226">
      <c r="A226" s="15" t="inlineStr">
        <is>
          <t>test/review.test.ts</t>
        </is>
      </c>
      <c r="B226" s="15" t="inlineStr">
        <is>
          <t>—</t>
        </is>
      </c>
      <c r="C226" s="15" t="inlineStr">
        <is>
          <t>review 2 metadata R05</t>
        </is>
      </c>
      <c r="D226" s="28" t="inlineStr">
        <is>
          <t>PASS</t>
        </is>
      </c>
      <c r="E226" s="31" t="n">
        <v>0.1</v>
      </c>
    </row>
    <row r="227">
      <c r="A227" s="15" t="inlineStr">
        <is>
          <t>test/review.test.ts</t>
        </is>
      </c>
      <c r="B227" s="15" t="inlineStr">
        <is>
          <t>—</t>
        </is>
      </c>
      <c r="C227" s="15" t="inlineStr">
        <is>
          <t>review 2 metadata R06</t>
        </is>
      </c>
      <c r="D227" s="28" t="inlineStr">
        <is>
          <t>PASS</t>
        </is>
      </c>
      <c r="E227" s="31" t="n">
        <v>0.4</v>
      </c>
    </row>
    <row r="228">
      <c r="A228" s="15" t="inlineStr">
        <is>
          <t>test/review.test.ts</t>
        </is>
      </c>
      <c r="B228" s="15" t="inlineStr">
        <is>
          <t>—</t>
        </is>
      </c>
      <c r="C228" s="15" t="inlineStr">
        <is>
          <t>review 2 metadata R06B</t>
        </is>
      </c>
      <c r="D228" s="28" t="inlineStr">
        <is>
          <t>PASS</t>
        </is>
      </c>
      <c r="E228" s="31" t="n">
        <v>0.1</v>
      </c>
    </row>
    <row r="229">
      <c r="A229" s="15" t="inlineStr">
        <is>
          <t>test/review.test.ts</t>
        </is>
      </c>
      <c r="B229" s="15" t="inlineStr">
        <is>
          <t>—</t>
        </is>
      </c>
      <c r="C229" s="15" t="inlineStr">
        <is>
          <t>review 2 metadata R07</t>
        </is>
      </c>
      <c r="D229" s="28" t="inlineStr">
        <is>
          <t>PASS</t>
        </is>
      </c>
      <c r="E229" s="31" t="n">
        <v>0.1</v>
      </c>
    </row>
    <row r="230">
      <c r="A230" s="15" t="inlineStr">
        <is>
          <t>test/review.test.ts</t>
        </is>
      </c>
      <c r="B230" s="15" t="inlineStr">
        <is>
          <t>—</t>
        </is>
      </c>
      <c r="C230" s="15" t="inlineStr">
        <is>
          <t>review 2 metadata R08</t>
        </is>
      </c>
      <c r="D230" s="28" t="inlineStr">
        <is>
          <t>PASS</t>
        </is>
      </c>
      <c r="E230" s="31" t="n">
        <v>0.1</v>
      </c>
    </row>
    <row r="231">
      <c r="A231" s="15" t="inlineStr">
        <is>
          <t>test/review.test.ts</t>
        </is>
      </c>
      <c r="B231" s="15" t="inlineStr">
        <is>
          <t>—</t>
        </is>
      </c>
      <c r="C231" s="15" t="inlineStr">
        <is>
          <t>review 2 metadata R09</t>
        </is>
      </c>
      <c r="D231" s="28" t="inlineStr">
        <is>
          <t>PASS</t>
        </is>
      </c>
      <c r="E231" s="31" t="n">
        <v>0.1</v>
      </c>
    </row>
    <row r="232">
      <c r="A232" s="15" t="inlineStr">
        <is>
          <t>test/review.test.ts</t>
        </is>
      </c>
      <c r="B232" s="15" t="inlineStr">
        <is>
          <t>—</t>
        </is>
      </c>
      <c r="C232" s="15" t="inlineStr">
        <is>
          <t>review 2 metadata R10</t>
        </is>
      </c>
      <c r="D232" s="28" t="inlineStr">
        <is>
          <t>PASS</t>
        </is>
      </c>
      <c r="E232" s="31" t="n">
        <v>1.1</v>
      </c>
    </row>
    <row r="233">
      <c r="A233" s="15" t="inlineStr">
        <is>
          <t>test/review.test.ts</t>
        </is>
      </c>
      <c r="B233" s="15" t="inlineStr">
        <is>
          <t>—</t>
        </is>
      </c>
      <c r="C233" s="15" t="inlineStr">
        <is>
          <t>review 2 metadata R11</t>
        </is>
      </c>
      <c r="D233" s="28" t="inlineStr">
        <is>
          <t>PASS</t>
        </is>
      </c>
      <c r="E233" s="31" t="n">
        <v>0.1</v>
      </c>
    </row>
    <row r="234">
      <c r="A234" s="15" t="inlineStr">
        <is>
          <t>test/review.test.ts</t>
        </is>
      </c>
      <c r="B234" s="15" t="inlineStr">
        <is>
          <t>—</t>
        </is>
      </c>
      <c r="C234" s="15" t="inlineStr">
        <is>
          <t>review 2 metadata R12</t>
        </is>
      </c>
      <c r="D234" s="28" t="inlineStr">
        <is>
          <t>PASS</t>
        </is>
      </c>
      <c r="E234" s="31" t="n">
        <v>0.1</v>
      </c>
    </row>
    <row r="235">
      <c r="A235" s="15" t="inlineStr">
        <is>
          <t>test/review.test.ts</t>
        </is>
      </c>
      <c r="B235" s="15" t="inlineStr">
        <is>
          <t>—</t>
        </is>
      </c>
      <c r="C235" s="15" t="inlineStr">
        <is>
          <t>review 2 metadata R13</t>
        </is>
      </c>
      <c r="D235" s="28" t="inlineStr">
        <is>
          <t>PASS</t>
        </is>
      </c>
      <c r="E235" s="31" t="n">
        <v>0.1</v>
      </c>
    </row>
    <row r="236">
      <c r="A236" s="15" t="inlineStr">
        <is>
          <t>test/review.test.ts</t>
        </is>
      </c>
      <c r="B236" s="15" t="inlineStr">
        <is>
          <t>—</t>
        </is>
      </c>
      <c r="C236" s="15" t="inlineStr">
        <is>
          <t>review 2 metadata R14</t>
        </is>
      </c>
      <c r="D236" s="28" t="inlineStr">
        <is>
          <t>PASS</t>
        </is>
      </c>
      <c r="E236" s="31" t="n">
        <v>0.1</v>
      </c>
    </row>
    <row r="237">
      <c r="A237" s="15" t="inlineStr">
        <is>
          <t>test/review.test.ts</t>
        </is>
      </c>
      <c r="B237" s="15" t="inlineStr">
        <is>
          <t>—</t>
        </is>
      </c>
      <c r="C237" s="15" t="inlineStr">
        <is>
          <t>review 2 metadata R15</t>
        </is>
      </c>
      <c r="D237" s="28" t="inlineStr">
        <is>
          <t>PASS</t>
        </is>
      </c>
      <c r="E237" s="31" t="n">
        <v>0.1</v>
      </c>
    </row>
    <row r="238">
      <c r="A238" s="15" t="inlineStr">
        <is>
          <t>test/review.test.ts</t>
        </is>
      </c>
      <c r="B238" s="15" t="inlineStr">
        <is>
          <t>—</t>
        </is>
      </c>
      <c r="C238" s="15" t="inlineStr">
        <is>
          <t>review 2 metadata R16</t>
        </is>
      </c>
      <c r="D238" s="28" t="inlineStr">
        <is>
          <t>PASS</t>
        </is>
      </c>
      <c r="E238" s="31" t="n">
        <v>0.1</v>
      </c>
    </row>
    <row r="239">
      <c r="A239" s="15" t="inlineStr">
        <is>
          <t>test/review.test.ts</t>
        </is>
      </c>
      <c r="B239" s="15" t="inlineStr">
        <is>
          <t>—</t>
        </is>
      </c>
      <c r="C239" s="15" t="inlineStr">
        <is>
          <t>review 2 metadata R17</t>
        </is>
      </c>
      <c r="D239" s="28" t="inlineStr">
        <is>
          <t>PASS</t>
        </is>
      </c>
      <c r="E239" s="31" t="n">
        <v>0.1</v>
      </c>
    </row>
    <row r="240">
      <c r="A240" s="15" t="inlineStr">
        <is>
          <t>test/review.test.ts</t>
        </is>
      </c>
      <c r="B240" s="15" t="inlineStr">
        <is>
          <t>—</t>
        </is>
      </c>
      <c r="C240" s="15" t="inlineStr">
        <is>
          <t>review 2 metadata R18</t>
        </is>
      </c>
      <c r="D240" s="28" t="inlineStr">
        <is>
          <t>PASS</t>
        </is>
      </c>
      <c r="E240" s="31" t="n">
        <v>0.1</v>
      </c>
    </row>
    <row r="241">
      <c r="A241" s="15" t="inlineStr">
        <is>
          <t>test/review.test.ts</t>
        </is>
      </c>
      <c r="B241" s="15" t="inlineStr">
        <is>
          <t>—</t>
        </is>
      </c>
      <c r="C241" s="15" t="inlineStr">
        <is>
          <t>review 2 metadata R19</t>
        </is>
      </c>
      <c r="D241" s="28" t="inlineStr">
        <is>
          <t>PASS</t>
        </is>
      </c>
      <c r="E241" s="31" t="n">
        <v>0.1</v>
      </c>
    </row>
    <row r="242">
      <c r="A242" s="15" t="inlineStr">
        <is>
          <t>test/review.test.ts</t>
        </is>
      </c>
      <c r="B242" s="15" t="inlineStr">
        <is>
          <t>—</t>
        </is>
      </c>
      <c r="C242" s="15" t="inlineStr">
        <is>
          <t>review 2 metadata R20</t>
        </is>
      </c>
      <c r="D242" s="28" t="inlineStr">
        <is>
          <t>PASS</t>
        </is>
      </c>
      <c r="E242" s="31" t="n">
        <v>0.1</v>
      </c>
    </row>
    <row r="243">
      <c r="A243" s="15" t="inlineStr">
        <is>
          <t>test/review.test.ts</t>
        </is>
      </c>
      <c r="B243" s="15" t="inlineStr">
        <is>
          <t>—</t>
        </is>
      </c>
      <c r="C243" s="15" t="inlineStr">
        <is>
          <t>review 2 metadata R21</t>
        </is>
      </c>
      <c r="D243" s="28" t="inlineStr">
        <is>
          <t>PASS</t>
        </is>
      </c>
      <c r="E243" s="31" t="n">
        <v>0.1</v>
      </c>
    </row>
    <row r="244">
      <c r="A244" s="15" t="inlineStr">
        <is>
          <t>test/review.test.ts</t>
        </is>
      </c>
      <c r="B244" s="15" t="inlineStr">
        <is>
          <t>—</t>
        </is>
      </c>
      <c r="C244" s="15" t="inlineStr">
        <is>
          <t>review 2 metadata R21B</t>
        </is>
      </c>
      <c r="D244" s="28" t="inlineStr">
        <is>
          <t>PASS</t>
        </is>
      </c>
      <c r="E244" s="31" t="n">
        <v>0.1</v>
      </c>
    </row>
    <row r="245">
      <c r="A245" s="15" t="inlineStr">
        <is>
          <t>test/review.test.ts</t>
        </is>
      </c>
      <c r="B245" s="15" t="inlineStr">
        <is>
          <t>—</t>
        </is>
      </c>
      <c r="C245" s="15" t="inlineStr">
        <is>
          <t>review 3 remove tags independently of escalation</t>
        </is>
      </c>
      <c r="D245" s="28" t="inlineStr">
        <is>
          <t>PASS</t>
        </is>
      </c>
      <c r="E245" s="31" t="n">
        <v>0.4</v>
      </c>
    </row>
    <row r="246">
      <c r="A246" s="15" t="inlineStr">
        <is>
          <t>test/review.test.ts</t>
        </is>
      </c>
      <c r="B246" s="15" t="inlineStr">
        <is>
          <t>—</t>
        </is>
      </c>
      <c r="C246" s="15" t="inlineStr">
        <is>
          <t>review 4 recovery, no-op and empty hard range</t>
        </is>
      </c>
      <c r="D246" s="28" t="inlineStr">
        <is>
          <t>PASS</t>
        </is>
      </c>
      <c r="E246" s="31" t="n">
        <v>0.9</v>
      </c>
    </row>
    <row r="247">
      <c r="A247" s="15" t="inlineStr">
        <is>
          <t>test/review.test.ts</t>
        </is>
      </c>
      <c r="B247" s="15" t="inlineStr">
        <is>
          <t>—</t>
        </is>
      </c>
      <c r="C247" s="15" t="inlineStr">
        <is>
          <t>review 5 calendar cooldown across DST and early run</t>
        </is>
      </c>
      <c r="D247" s="28" t="inlineStr">
        <is>
          <t>PASS</t>
        </is>
      </c>
      <c r="E247" s="31" t="n">
        <v>25.4</v>
      </c>
    </row>
    <row r="248">
      <c r="A248" s="15" t="inlineStr">
        <is>
          <t>test/review.test.ts</t>
        </is>
      </c>
      <c r="B248" s="15" t="inlineStr">
        <is>
          <t>—</t>
        </is>
      </c>
      <c r="C248" s="15" t="inlineStr">
        <is>
          <t>review 6 golden lifecycle days 4 and 8</t>
        </is>
      </c>
      <c r="D248" s="28" t="inlineStr">
        <is>
          <t>PASS</t>
        </is>
      </c>
      <c r="E248" s="31" t="n">
        <v>7.8</v>
      </c>
    </row>
    <row r="249">
      <c r="A249" s="15" t="inlineStr">
        <is>
          <t>test/rule-boundaries.test.ts</t>
        </is>
      </c>
      <c r="B249" s="15" t="inlineStr">
        <is>
          <t>—</t>
        </is>
      </c>
      <c r="C249" s="15" t="inlineStr">
        <is>
          <t>R10 blocked by MANAGE and ALERT</t>
        </is>
      </c>
      <c r="D249" s="28" t="inlineStr">
        <is>
          <t>PASS</t>
        </is>
      </c>
      <c r="E249" s="31" t="n">
        <v>3.7</v>
      </c>
    </row>
    <row r="250">
      <c r="A250" s="15" t="inlineStr">
        <is>
          <t>test/rule-boundaries.test.ts</t>
        </is>
      </c>
      <c r="B250" s="15" t="inlineStr">
        <is>
          <t>—</t>
        </is>
      </c>
      <c r="C250" s="15" t="inlineStr">
        <is>
          <t>R10 explicit bid boundary is a no-op</t>
        </is>
      </c>
      <c r="D250" s="28" t="inlineStr">
        <is>
          <t>PASS</t>
        </is>
      </c>
      <c r="E250" s="31" t="n">
        <v>1.8</v>
      </c>
    </row>
    <row r="251">
      <c r="A251" s="15" t="inlineStr">
        <is>
          <t>test/rule-boundaries.test.ts</t>
        </is>
      </c>
      <c r="B251" s="15" t="inlineStr">
        <is>
          <t>—</t>
        </is>
      </c>
      <c r="C251" s="15" t="inlineStr">
        <is>
          <t>R10 ignores a paused campaign</t>
        </is>
      </c>
      <c r="D251" s="28" t="inlineStr">
        <is>
          <t>PASS</t>
        </is>
      </c>
      <c r="E251" s="31" t="n">
        <v>0.9</v>
      </c>
    </row>
    <row r="252">
      <c r="A252" s="15" t="inlineStr">
        <is>
          <t>test/rule-boundaries.test.ts</t>
        </is>
      </c>
      <c r="B252" s="15" t="inlineStr">
        <is>
          <t>—</t>
        </is>
      </c>
      <c r="C252" s="15" t="inlineStr">
        <is>
          <t>R10 is blocked by its own configured cooldown</t>
        </is>
      </c>
      <c r="D252" s="28" t="inlineStr">
        <is>
          <t>PASS</t>
        </is>
      </c>
      <c r="E252" s="31" t="n">
        <v>41.9</v>
      </c>
    </row>
    <row r="253">
      <c r="A253" s="15" t="inlineStr">
        <is>
          <t>test/rule-boundaries.test.ts</t>
        </is>
      </c>
      <c r="B253" s="15" t="inlineStr">
        <is>
          <t>—</t>
        </is>
      </c>
      <c r="C253" s="15" t="inlineStr">
        <is>
          <t>R11 handles positive orders with zero-dollar sales as infinite ACoS</t>
        </is>
      </c>
      <c r="D253" s="28" t="inlineStr">
        <is>
          <t>PASS</t>
        </is>
      </c>
      <c r="E253" s="31" t="n">
        <v>3.6</v>
      </c>
    </row>
    <row r="254">
      <c r="A254" s="15" t="inlineStr">
        <is>
          <t>test/rule-boundaries.test.ts</t>
        </is>
      </c>
      <c r="B254" s="15" t="inlineStr">
        <is>
          <t>—</t>
        </is>
      </c>
      <c r="C254" s="15" t="inlineStr">
        <is>
          <t>R11 ignores a paused campaign</t>
        </is>
      </c>
      <c r="D254" s="28" t="inlineStr">
        <is>
          <t>PASS</t>
        </is>
      </c>
      <c r="E254" s="31" t="n">
        <v>0.8</v>
      </c>
    </row>
    <row r="255">
      <c r="A255" s="15" t="inlineStr">
        <is>
          <t>test/rule-boundaries.test.ts</t>
        </is>
      </c>
      <c r="B255" s="15" t="inlineStr">
        <is>
          <t>—</t>
        </is>
      </c>
      <c r="C255" s="15" t="inlineStr">
        <is>
          <t>R11 is blocked by its own configured cooldown</t>
        </is>
      </c>
      <c r="D255" s="28" t="inlineStr">
        <is>
          <t>PASS</t>
        </is>
      </c>
      <c r="E255" s="31" t="n">
        <v>2.4</v>
      </c>
    </row>
    <row r="256">
      <c r="A256" s="15" t="inlineStr">
        <is>
          <t>test/rule-boundaries.test.ts</t>
        </is>
      </c>
      <c r="B256" s="15" t="inlineStr">
        <is>
          <t>—</t>
        </is>
      </c>
      <c r="C256" s="15" t="inlineStr">
        <is>
          <t>R12 explicit bid boundary is a no-op</t>
        </is>
      </c>
      <c r="D256" s="28" t="inlineStr">
        <is>
          <t>PASS</t>
        </is>
      </c>
      <c r="E256" s="31" t="n">
        <v>4.1</v>
      </c>
    </row>
    <row r="257">
      <c r="A257" s="15" t="inlineStr">
        <is>
          <t>test/rule-boundaries.test.ts</t>
        </is>
      </c>
      <c r="B257" s="15" t="inlineStr">
        <is>
          <t>—</t>
        </is>
      </c>
      <c r="C257" s="15" t="inlineStr">
        <is>
          <t>R12 ignores a paused campaign</t>
        </is>
      </c>
      <c r="D257" s="28" t="inlineStr">
        <is>
          <t>PASS</t>
        </is>
      </c>
      <c r="E257" s="31" t="n">
        <v>0.8</v>
      </c>
    </row>
    <row r="258">
      <c r="A258" s="15" t="inlineStr">
        <is>
          <t>test/rule-boundaries.test.ts</t>
        </is>
      </c>
      <c r="B258" s="15" t="inlineStr">
        <is>
          <t>—</t>
        </is>
      </c>
      <c r="C258" s="15" t="inlineStr">
        <is>
          <t>R12 is blocked by its own configured cooldown</t>
        </is>
      </c>
      <c r="D258" s="28" t="inlineStr">
        <is>
          <t>PASS</t>
        </is>
      </c>
      <c r="E258" s="31" t="n">
        <v>1.4</v>
      </c>
    </row>
    <row r="259">
      <c r="A259" s="15" t="inlineStr">
        <is>
          <t>test/rule-boundaries.test.ts</t>
        </is>
      </c>
      <c r="B259" s="15" t="inlineStr">
        <is>
          <t>—</t>
        </is>
      </c>
      <c r="C259" s="15" t="inlineStr">
        <is>
          <t>R13 ignores a paused campaign</t>
        </is>
      </c>
      <c r="D259" s="28" t="inlineStr">
        <is>
          <t>PASS</t>
        </is>
      </c>
      <c r="E259" s="31" t="n">
        <v>2.6</v>
      </c>
    </row>
    <row r="260">
      <c r="A260" s="15" t="inlineStr">
        <is>
          <t>test/rule-boundaries.test.ts</t>
        </is>
      </c>
      <c r="B260" s="15" t="inlineStr">
        <is>
          <t>—</t>
        </is>
      </c>
      <c r="C260" s="15" t="inlineStr">
        <is>
          <t>R14 blocked by MANAGE and ALERT</t>
        </is>
      </c>
      <c r="D260" s="28" t="inlineStr">
        <is>
          <t>PASS</t>
        </is>
      </c>
      <c r="E260" s="31" t="n">
        <v>12.6</v>
      </c>
    </row>
    <row r="261">
      <c r="A261" s="15" t="inlineStr">
        <is>
          <t>test/rule-boundaries.test.ts</t>
        </is>
      </c>
      <c r="B261" s="15" t="inlineStr">
        <is>
          <t>—</t>
        </is>
      </c>
      <c r="C261" s="15" t="inlineStr">
        <is>
          <t>R14 ignores a paused campaign</t>
        </is>
      </c>
      <c r="D261" s="28" t="inlineStr">
        <is>
          <t>PASS</t>
        </is>
      </c>
      <c r="E261" s="31" t="n">
        <v>0.8</v>
      </c>
    </row>
    <row r="262">
      <c r="A262" s="15" t="inlineStr">
        <is>
          <t>test/rule-boundaries.test.ts</t>
        </is>
      </c>
      <c r="B262" s="15" t="inlineStr">
        <is>
          <t>—</t>
        </is>
      </c>
      <c r="C262" s="15" t="inlineStr">
        <is>
          <t>R14 is blocked by its own configured cooldown</t>
        </is>
      </c>
      <c r="D262" s="28" t="inlineStr">
        <is>
          <t>PASS</t>
        </is>
      </c>
      <c r="E262" s="31" t="n">
        <v>4.5</v>
      </c>
    </row>
    <row r="263">
      <c r="A263" s="15" t="inlineStr">
        <is>
          <t>test/rule-boundaries.test.ts</t>
        </is>
      </c>
      <c r="B263" s="15" t="inlineStr">
        <is>
          <t>—</t>
        </is>
      </c>
      <c r="C263" s="15" t="inlineStr">
        <is>
          <t>R18 blocked by MANAGE and ALERT</t>
        </is>
      </c>
      <c r="D263" s="28" t="inlineStr">
        <is>
          <t>PASS</t>
        </is>
      </c>
      <c r="E263" s="31" t="n">
        <v>1.8</v>
      </c>
    </row>
    <row r="264">
      <c r="A264" s="15" t="inlineStr">
        <is>
          <t>test/rule-boundaries.test.ts</t>
        </is>
      </c>
      <c r="B264" s="15" t="inlineStr">
        <is>
          <t>—</t>
        </is>
      </c>
      <c r="C264" s="15" t="inlineStr">
        <is>
          <t>R18 ignores a paused campaign</t>
        </is>
      </c>
      <c r="D264" s="28" t="inlineStr">
        <is>
          <t>PASS</t>
        </is>
      </c>
      <c r="E264" s="31" t="n">
        <v>0.7</v>
      </c>
    </row>
    <row r="265">
      <c r="A265" s="15" t="inlineStr">
        <is>
          <t>test/rule-boundaries.test.ts</t>
        </is>
      </c>
      <c r="B265" s="15" t="inlineStr">
        <is>
          <t>—</t>
        </is>
      </c>
      <c r="C265" s="15" t="inlineStr">
        <is>
          <t>R18 is blocked by its own configured cooldown</t>
        </is>
      </c>
      <c r="D265" s="28" t="inlineStr">
        <is>
          <t>PASS</t>
        </is>
      </c>
      <c r="E265" s="31" t="n">
        <v>4.5</v>
      </c>
    </row>
    <row r="266">
      <c r="A266" s="15" t="inlineStr">
        <is>
          <t>test/rule-boundaries.test.ts</t>
        </is>
      </c>
      <c r="B266" s="15" t="inlineStr">
        <is>
          <t>—</t>
        </is>
      </c>
      <c r="C266" s="15" t="inlineStr">
        <is>
          <t>R19 ignores a paused campaign</t>
        </is>
      </c>
      <c r="D266" s="28" t="inlineStr">
        <is>
          <t>PASS</t>
        </is>
      </c>
      <c r="E266" s="31" t="n">
        <v>0.8</v>
      </c>
    </row>
    <row r="267">
      <c r="A267" s="15" t="inlineStr">
        <is>
          <t>test/rule-boundaries.test.ts</t>
        </is>
      </c>
      <c r="B267" s="15" t="inlineStr">
        <is>
          <t>—</t>
        </is>
      </c>
      <c r="C267" s="15" t="inlineStr">
        <is>
          <t>R19 is blocked by its own configured cooldown</t>
        </is>
      </c>
      <c r="D267" s="28" t="inlineStr">
        <is>
          <t>PASS</t>
        </is>
      </c>
      <c r="E267" s="31" t="n">
        <v>1.2</v>
      </c>
    </row>
    <row r="268">
      <c r="A268" s="15" t="inlineStr">
        <is>
          <t>test/rule-boundaries.test.ts</t>
        </is>
      </c>
      <c r="B268" s="15" t="inlineStr">
        <is>
          <t>—</t>
        </is>
      </c>
      <c r="C268" s="15" t="inlineStr">
        <is>
          <t>R20 ignores a paused campaign</t>
        </is>
      </c>
      <c r="D268" s="28" t="inlineStr">
        <is>
          <t>PASS</t>
        </is>
      </c>
      <c r="E268" s="31" t="n">
        <v>5.3</v>
      </c>
    </row>
    <row r="269">
      <c r="A269" s="15" t="inlineStr">
        <is>
          <t>test/rule-boundaries.test.ts</t>
        </is>
      </c>
      <c r="B269" s="15" t="inlineStr">
        <is>
          <t>—</t>
        </is>
      </c>
      <c r="C269" s="15" t="inlineStr">
        <is>
          <t>R21 blocked by MANAGE and ALERT</t>
        </is>
      </c>
      <c r="D269" s="28" t="inlineStr">
        <is>
          <t>PASS</t>
        </is>
      </c>
      <c r="E269" s="31" t="n">
        <v>1.7</v>
      </c>
    </row>
    <row r="270">
      <c r="A270" s="15" t="inlineStr">
        <is>
          <t>test/rule-boundaries.test.ts</t>
        </is>
      </c>
      <c r="B270" s="15" t="inlineStr">
        <is>
          <t>—</t>
        </is>
      </c>
      <c r="C270" s="15" t="inlineStr">
        <is>
          <t>R21 ignores a paused campaign</t>
        </is>
      </c>
      <c r="D270" s="28" t="inlineStr">
        <is>
          <t>PASS</t>
        </is>
      </c>
      <c r="E270" s="31" t="n">
        <v>0.7</v>
      </c>
    </row>
    <row r="271">
      <c r="A271" s="15" t="inlineStr">
        <is>
          <t>test/scenario-validation.test.ts</t>
        </is>
      </c>
      <c r="B271" s="15" t="inlineStr">
        <is>
          <t>—</t>
        </is>
      </c>
      <c r="C271" s="15" t="inlineStr">
        <is>
          <t>rejects chronologically reversed windows even with different offsets</t>
        </is>
      </c>
      <c r="D271" s="28" t="inlineStr">
        <is>
          <t>PASS</t>
        </is>
      </c>
      <c r="E271" s="31" t="n">
        <v>45</v>
      </c>
    </row>
    <row r="272">
      <c r="A272" s="15" t="inlineStr">
        <is>
          <t>test/scenario-validation.test.ts</t>
        </is>
      </c>
      <c r="B272" s="15" t="inlineStr">
        <is>
          <t>—</t>
        </is>
      </c>
      <c r="C272" s="15" t="inlineStr">
        <is>
          <t>requires fault probabilities and unique search queries</t>
        </is>
      </c>
      <c r="D272" s="28" t="inlineStr">
        <is>
          <t>PASS</t>
        </is>
      </c>
      <c r="E272" s="31" t="n">
        <v>1</v>
      </c>
    </row>
    <row r="273">
      <c r="A273" s="15" t="inlineStr">
        <is>
          <t>test/search-term.test.ts</t>
        </is>
      </c>
      <c r="B273" s="15" t="inlineStr">
        <is>
          <t>—</t>
        </is>
      </c>
      <c r="C273" s="15" t="inlineStr">
        <is>
          <t>R15 Sunday creates a new Exact with CPC anchor and pending provenance</t>
        </is>
      </c>
      <c r="D273" s="28" t="inlineStr">
        <is>
          <t>PASS</t>
        </is>
      </c>
      <c r="E273" s="31" t="n">
        <v>3.9</v>
      </c>
    </row>
    <row r="274">
      <c r="A274" s="15" t="inlineStr">
        <is>
          <t>test/search-term.test.ts</t>
        </is>
      </c>
      <c r="B274" s="15" t="inlineStr">
        <is>
          <t>—</t>
        </is>
      </c>
      <c r="C274" s="15" t="inlineStr">
        <is>
          <t>R15 rejects weekday, Exact source, missing destination and existing disabled Exact</t>
        </is>
      </c>
      <c r="D274" s="28" t="inlineStr">
        <is>
          <t>PASS</t>
        </is>
      </c>
      <c r="E274" s="31" t="n">
        <v>4.9</v>
      </c>
    </row>
    <row r="275">
      <c r="A275" s="15" t="inlineStr">
        <is>
          <t>test/search-term.test.ts</t>
        </is>
      </c>
      <c r="B275" s="15" t="inlineStr">
        <is>
          <t>—</t>
        </is>
      </c>
      <c r="C275" s="15" t="inlineStr">
        <is>
          <t>R16 below threshold</t>
        </is>
      </c>
      <c r="D275" s="28" t="inlineStr">
        <is>
          <t>PASS</t>
        </is>
      </c>
      <c r="E275" s="31" t="n">
        <v>4.4</v>
      </c>
    </row>
    <row r="276">
      <c r="A276" s="15" t="inlineStr">
        <is>
          <t>test/search-term.test.ts</t>
        </is>
      </c>
      <c r="B276" s="15" t="inlineStr">
        <is>
          <t>—</t>
        </is>
      </c>
      <c r="C276" s="15" t="inlineStr">
        <is>
          <t>R16 creates normalized negative once</t>
        </is>
      </c>
      <c r="D276" s="28" t="inlineStr">
        <is>
          <t>PASS</t>
        </is>
      </c>
      <c r="E276" s="31" t="n">
        <v>34.2</v>
      </c>
    </row>
    <row r="277">
      <c r="A277" s="15" t="inlineStr">
        <is>
          <t>test/search-term.test.ts</t>
        </is>
      </c>
      <c r="B277" s="15" t="inlineStr">
        <is>
          <t>—</t>
        </is>
      </c>
      <c r="C277" s="15" t="inlineStr">
        <is>
          <t>R17 below threshold</t>
        </is>
      </c>
      <c r="D277" s="28" t="inlineStr">
        <is>
          <t>PASS</t>
        </is>
      </c>
      <c r="E277" s="31" t="n">
        <v>2.4</v>
      </c>
    </row>
    <row r="278">
      <c r="A278" s="15" t="inlineStr">
        <is>
          <t>test/search-term.test.ts</t>
        </is>
      </c>
      <c r="B278" s="15" t="inlineStr">
        <is>
          <t>—</t>
        </is>
      </c>
      <c r="C278" s="15" t="inlineStr">
        <is>
          <t>R17 creates normalized negative once</t>
        </is>
      </c>
      <c r="D278" s="28" t="inlineStr">
        <is>
          <t>PASS</t>
        </is>
      </c>
      <c r="E278" s="31" t="n">
        <v>2.6</v>
      </c>
    </row>
    <row r="279">
      <c r="A279" s="15" t="inlineStr">
        <is>
          <t>test/search-term.test.ts</t>
        </is>
      </c>
      <c r="B279" s="15" t="inlineStr">
        <is>
          <t>—</t>
        </is>
      </c>
      <c r="C279" s="15" t="inlineStr">
        <is>
          <t>enabled same ASIN Exact prevents R16/R17 and explains why</t>
        </is>
      </c>
      <c r="D279" s="28" t="inlineStr">
        <is>
          <t>PASS</t>
        </is>
      </c>
      <c r="E279" s="31" t="n">
        <v>1.9</v>
      </c>
    </row>
    <row r="280">
      <c r="A280" s="15" t="inlineStr">
        <is>
          <t>test/step4-engine.test.ts</t>
        </is>
      </c>
      <c r="B280" s="15" t="inlineStr">
        <is>
          <t>—</t>
        </is>
      </c>
      <c r="C280" s="15" t="inlineStr">
        <is>
          <t>G6 considers the maximum hourly multiplier rather than current hour</t>
        </is>
      </c>
      <c r="D280" s="28" t="inlineStr">
        <is>
          <t>PASS</t>
        </is>
      </c>
      <c r="E280" s="31" t="n">
        <v>2</v>
      </c>
    </row>
    <row r="281">
      <c r="A281" s="15" t="inlineStr">
        <is>
          <t>test/step4-engine.test.ts</t>
        </is>
      </c>
      <c r="B281" s="15" t="inlineStr">
        <is>
          <t>—</t>
        </is>
      </c>
      <c r="C281" s="15" t="inlineStr">
        <is>
          <t>campaign-first skips the entire target group before cooldown checks</t>
        </is>
      </c>
      <c r="D281" s="28" t="inlineStr">
        <is>
          <t>PASS</t>
        </is>
      </c>
      <c r="E281" s="31" t="n">
        <v>3.5</v>
      </c>
    </row>
    <row r="282">
      <c r="A282" s="15" t="inlineStr">
        <is>
          <t>test/step4-engine.test.ts</t>
        </is>
      </c>
      <c r="B282" s="15" t="inlineStr">
        <is>
          <t>—</t>
        </is>
      </c>
      <c r="C282" s="15" t="inlineStr">
        <is>
          <t>new targets pass G6 using destination thresholds</t>
        </is>
      </c>
      <c r="D282" s="28" t="inlineStr">
        <is>
          <t>PASS</t>
        </is>
      </c>
      <c r="E282" s="31" t="n">
        <v>1.6</v>
      </c>
    </row>
    <row r="283">
      <c r="A283" s="15" t="inlineStr">
        <is>
          <t>test/step4-engine.test.ts</t>
        </is>
      </c>
      <c r="B283" s="15" t="inlineStr">
        <is>
          <t>—</t>
        </is>
      </c>
      <c r="C283" s="15" t="inlineStr">
        <is>
          <t>placement-only proposal never silently changes base bids</t>
        </is>
      </c>
      <c r="D283" s="28" t="inlineStr">
        <is>
          <t>PASS</t>
        </is>
      </c>
      <c r="E283" s="31" t="n">
        <v>34.3</v>
      </c>
    </row>
    <row r="284">
      <c r="A284" s="15" t="inlineStr">
        <is>
          <t>test/step4-engine.test.ts</t>
        </is>
      </c>
      <c r="B284" s="15" t="inlineStr">
        <is>
          <t>—</t>
        </is>
      </c>
      <c r="C284" s="15" t="inlineStr">
        <is>
          <t>target bid guard no-op never consumes R14 attempts or R12 counters</t>
        </is>
      </c>
      <c r="D284" s="28" t="inlineStr">
        <is>
          <t>PASS</t>
        </is>
      </c>
      <c r="E284" s="31" t="n">
        <v>1.3</v>
      </c>
    </row>
    <row r="285">
      <c r="A285" s="15" t="inlineStr">
        <is>
          <t>test/target.test.ts</t>
        </is>
      </c>
      <c r="B285" s="15" t="inlineStr">
        <is>
          <t>—</t>
        </is>
      </c>
      <c r="C285" s="15" t="inlineStr">
        <is>
          <t>R10 below sample does not match</t>
        </is>
      </c>
      <c r="D285" s="28" t="inlineStr">
        <is>
          <t>PASS</t>
        </is>
      </c>
      <c r="E285" s="31" t="n">
        <v>2.6</v>
      </c>
    </row>
    <row r="286">
      <c r="A286" s="15" t="inlineStr">
        <is>
          <t>test/target.test.ts</t>
        </is>
      </c>
      <c r="B286" s="15" t="inlineStr">
        <is>
          <t>—</t>
        </is>
      </c>
      <c r="C286" s="15" t="inlineStr">
        <is>
          <t>R10 matches purely</t>
        </is>
      </c>
      <c r="D286" s="28" t="inlineStr">
        <is>
          <t>PASS</t>
        </is>
      </c>
      <c r="E286" s="31" t="n">
        <v>10.2</v>
      </c>
    </row>
    <row r="287">
      <c r="A287" s="15" t="inlineStr">
        <is>
          <t>test/target.test.ts</t>
        </is>
      </c>
      <c r="B287" s="15" t="inlineStr">
        <is>
          <t>—</t>
        </is>
      </c>
      <c r="C287" s="15" t="inlineStr">
        <is>
          <t>R11 below sample does not match</t>
        </is>
      </c>
      <c r="D287" s="28" t="inlineStr">
        <is>
          <t>PASS</t>
        </is>
      </c>
      <c r="E287" s="31" t="n">
        <v>2.8</v>
      </c>
    </row>
    <row r="288">
      <c r="A288" s="15" t="inlineStr">
        <is>
          <t>test/target.test.ts</t>
        </is>
      </c>
      <c r="B288" s="15" t="inlineStr">
        <is>
          <t>—</t>
        </is>
      </c>
      <c r="C288" s="15" t="inlineStr">
        <is>
          <t>R11 matches purely</t>
        </is>
      </c>
      <c r="D288" s="28" t="inlineStr">
        <is>
          <t>PASS</t>
        </is>
      </c>
      <c r="E288" s="31" t="n">
        <v>5.6</v>
      </c>
    </row>
    <row r="289">
      <c r="A289" s="15" t="inlineStr">
        <is>
          <t>test/target.test.ts</t>
        </is>
      </c>
      <c r="B289" s="15" t="inlineStr">
        <is>
          <t>—</t>
        </is>
      </c>
      <c r="C289" s="15" t="inlineStr">
        <is>
          <t>R12 below sample does not match</t>
        </is>
      </c>
      <c r="D289" s="28" t="inlineStr">
        <is>
          <t>PASS</t>
        </is>
      </c>
      <c r="E289" s="31" t="n">
        <v>1.9</v>
      </c>
    </row>
    <row r="290">
      <c r="A290" s="15" t="inlineStr">
        <is>
          <t>test/target.test.ts</t>
        </is>
      </c>
      <c r="B290" s="15" t="inlineStr">
        <is>
          <t>—</t>
        </is>
      </c>
      <c r="C290" s="15" t="inlineStr">
        <is>
          <t>R12 floor is a no-op and waste blocks R14 for thirty days</t>
        </is>
      </c>
      <c r="D290" s="28" t="inlineStr">
        <is>
          <t>PASS</t>
        </is>
      </c>
      <c r="E290" s="31" t="n">
        <v>4.2</v>
      </c>
    </row>
    <row r="291">
      <c r="A291" s="15" t="inlineStr">
        <is>
          <t>test/target.test.ts</t>
        </is>
      </c>
      <c r="B291" s="15" t="inlineStr">
        <is>
          <t>—</t>
        </is>
      </c>
      <c r="C291" s="15" t="inlineStr">
        <is>
          <t>R12 matches purely</t>
        </is>
      </c>
      <c r="D291" s="28" t="inlineStr">
        <is>
          <t>PASS</t>
        </is>
      </c>
      <c r="E291" s="31" t="n">
        <v>38</v>
      </c>
    </row>
    <row r="292">
      <c r="A292" s="15" t="inlineStr">
        <is>
          <t>test/target.test.ts</t>
        </is>
      </c>
      <c r="B292" s="15" t="inlineStr">
        <is>
          <t>—</t>
        </is>
      </c>
      <c r="C292" s="15" t="inlineStr">
        <is>
          <t>R13 counts the entire interval since R12, including orders older than thirty days</t>
        </is>
      </c>
      <c r="D292" s="28" t="inlineStr">
        <is>
          <t>PASS</t>
        </is>
      </c>
      <c r="E292" s="31" t="n">
        <v>1.6</v>
      </c>
    </row>
    <row r="293">
      <c r="A293" s="15" t="inlineStr">
        <is>
          <t>test/target.test.ts</t>
        </is>
      </c>
      <c r="B293" s="15" t="inlineStr">
        <is>
          <t>—</t>
        </is>
      </c>
      <c r="C293" s="15" t="inlineStr">
        <is>
          <t>R13 pauses from rolling 30 clicks and post R12 10 clicks, ignores bid cooldown</t>
        </is>
      </c>
      <c r="D293" s="28" t="inlineStr">
        <is>
          <t>PASS</t>
        </is>
      </c>
      <c r="E293" s="31" t="n">
        <v>23.2</v>
      </c>
    </row>
    <row r="294">
      <c r="A294" s="15" t="inlineStr">
        <is>
          <t>test/target.test.ts</t>
        </is>
      </c>
      <c r="B294" s="15" t="inlineStr">
        <is>
          <t>—</t>
        </is>
      </c>
      <c r="C294" s="15" t="inlineStr">
        <is>
          <t>R14 consumes an expired flag only with an effective proposal</t>
        </is>
      </c>
      <c r="D294" s="28" t="inlineStr">
        <is>
          <t>PASS</t>
        </is>
      </c>
      <c r="E294" s="31" t="n">
        <v>2</v>
      </c>
    </row>
    <row r="295">
      <c r="A295" s="15" t="inlineStr">
        <is>
          <t>test/target.test.ts</t>
        </is>
      </c>
      <c r="B295" s="15" t="inlineStr">
        <is>
          <t>—</t>
        </is>
      </c>
      <c r="C295" s="15" t="inlineStr">
        <is>
          <t>R14 limits every flag cycle to three raises over 120 low-impression days</t>
        </is>
      </c>
      <c r="D295" s="28" t="inlineStr">
        <is>
          <t>PASS</t>
        </is>
      </c>
      <c r="E295" s="31" t="n">
        <v>122.2</v>
      </c>
    </row>
    <row r="296">
      <c r="A296" s="15" t="inlineStr">
        <is>
          <t>test/target.test.ts</t>
        </is>
      </c>
      <c r="B296" s="15" t="inlineStr">
        <is>
          <t>—</t>
        </is>
      </c>
      <c r="C296" s="15" t="inlineStr">
        <is>
          <t>R14 matches purely</t>
        </is>
      </c>
      <c r="D296" s="28" t="inlineStr">
        <is>
          <t>PASS</t>
        </is>
      </c>
      <c r="E296" s="31" t="n">
        <v>4.6</v>
      </c>
    </row>
    <row r="297">
      <c r="A297" s="15" t="inlineStr">
        <is>
          <t>test/target.test.ts</t>
        </is>
      </c>
      <c r="B297" s="15" t="inlineStr">
        <is>
          <t>—</t>
        </is>
      </c>
      <c r="C297" s="15" t="inlineStr">
        <is>
          <t>R14 requires full seven fact days and resets count only after its flag expires</t>
        </is>
      </c>
      <c r="D297" s="28" t="inlineStr">
        <is>
          <t>PASS</t>
        </is>
      </c>
      <c r="E297" s="31" t="n">
        <v>3.7</v>
      </c>
    </row>
    <row r="298">
      <c r="A298" s="15" t="inlineStr">
        <is>
          <t>test/target.test.ts</t>
        </is>
      </c>
      <c r="B298" s="15" t="inlineStr">
        <is>
          <t>—</t>
        </is>
      </c>
      <c r="C298" s="15" t="inlineStr">
        <is>
          <t>target rules skip paused target and paused campaign</t>
        </is>
      </c>
      <c r="D298" s="28" t="inlineStr">
        <is>
          <t>PASS</t>
        </is>
      </c>
      <c r="E298" s="31" t="n">
        <v>4</v>
      </c>
    </row>
    <row r="299">
      <c r="A299" s="15" t="inlineStr">
        <is>
          <t>test/time-data.test.ts</t>
        </is>
      </c>
      <c r="B299" s="15" t="inlineStr">
        <is>
          <t>—</t>
        </is>
      </c>
      <c r="C299" s="15" t="inlineStr">
        <is>
          <t>G2 filters future knowledge and selects latest restatement per full grain</t>
        </is>
      </c>
      <c r="D299" s="28" t="inlineStr">
        <is>
          <t>PASS</t>
        </is>
      </c>
      <c r="E299" s="31" t="n">
        <v>3.3</v>
      </c>
    </row>
    <row r="300">
      <c r="A300" s="15" t="inlineStr">
        <is>
          <t>test/time-data.test.ts</t>
        </is>
      </c>
      <c r="B300" s="15" t="inlineStr">
        <is>
          <t>—</t>
        </is>
      </c>
      <c r="C300" s="15" t="inlineStr">
        <is>
          <t>G2 windows stop D-2 and require full ripe post-change days</t>
        </is>
      </c>
      <c r="D300" s="28" t="inlineStr">
        <is>
          <t>PASS</t>
        </is>
      </c>
      <c r="E300" s="31" t="n">
        <v>3.9</v>
      </c>
    </row>
    <row r="301">
      <c r="A301" s="15" t="inlineStr">
        <is>
          <t>test/time-data.test.ts</t>
        </is>
      </c>
      <c r="B301" s="15" t="inlineStr">
        <is>
          <t>—</t>
        </is>
      </c>
      <c r="C301" s="15" t="inlineStr">
        <is>
          <t>G3 calendar expiry is independent of elapsed hours across DST</t>
        </is>
      </c>
      <c r="D301" s="28" t="inlineStr">
        <is>
          <t>PASS</t>
        </is>
      </c>
      <c r="E301" s="31" t="n">
        <v>24.6</v>
      </c>
    </row>
    <row r="302">
      <c r="A302" s="15" t="inlineStr">
        <is>
          <t>test/time-data.test.ts</t>
        </is>
      </c>
      <c r="B302" s="15" t="inlineStr">
        <is>
          <t>—</t>
        </is>
      </c>
      <c r="C302" s="15" t="inlineStr">
        <is>
          <t>G8 preserves 25 fall-back and 23 spring-forward hourly fact buckets</t>
        </is>
      </c>
      <c r="D302" s="28" t="inlineStr">
        <is>
          <t>PASS</t>
        </is>
      </c>
      <c r="E302" s="31" t="n">
        <v>22.7</v>
      </c>
    </row>
    <row r="303">
      <c r="A303" s="15" t="inlineStr">
        <is>
          <t>test/time-data.test.ts</t>
        </is>
      </c>
      <c r="B303" s="15" t="inlineStr">
        <is>
          <t>—</t>
        </is>
      </c>
      <c r="C303" s="15" t="inlineStr">
        <is>
          <t>G8 uses PT dates, repeated DST hours with distinct buckets and marketplace Sundays</t>
        </is>
      </c>
      <c r="D303" s="28" t="inlineStr">
        <is>
          <t>PASS</t>
        </is>
      </c>
      <c r="E303" s="31" t="n">
        <v>34.6</v>
      </c>
    </row>
    <row r="304">
      <c r="A304" s="15" t="inlineStr">
        <is>
          <t>test/v32.test.ts</t>
        </is>
      </c>
      <c r="B304" s="15" t="inlineStr">
        <is>
          <t>—</t>
        </is>
      </c>
      <c r="C304" s="15" t="inlineStr">
        <is>
          <t>P1 R05 extends only zero-order evidence</t>
        </is>
      </c>
      <c r="D304" s="28" t="inlineStr">
        <is>
          <t>PASS</t>
        </is>
      </c>
      <c r="E304" s="31" t="n">
        <v>1.6</v>
      </c>
    </row>
    <row r="305">
      <c r="A305" s="15" t="inlineStr">
        <is>
          <t>test/v32.test.ts</t>
        </is>
      </c>
      <c r="B305" s="15" t="inlineStr">
        <is>
          <t>—</t>
        </is>
      </c>
      <c r="C305" s="15" t="inlineStr">
        <is>
          <t>P1 R06 extends only zero-order evidence</t>
        </is>
      </c>
      <c r="D305" s="28" t="inlineStr">
        <is>
          <t>PASS</t>
        </is>
      </c>
      <c r="E305" s="31" t="n">
        <v>10.4</v>
      </c>
    </row>
    <row r="306">
      <c r="A306" s="15" t="inlineStr">
        <is>
          <t>test/v32.test.ts</t>
        </is>
      </c>
      <c r="B306" s="15" t="inlineStr">
        <is>
          <t>—</t>
        </is>
      </c>
      <c r="C306" s="15" t="inlineStr">
        <is>
          <t>P1 R08 extends only zero-order evidence</t>
        </is>
      </c>
      <c r="D306" s="28" t="inlineStr">
        <is>
          <t>PASS</t>
        </is>
      </c>
      <c r="E306" s="31" t="n">
        <v>3</v>
      </c>
    </row>
    <row r="307">
      <c r="A307" s="15" t="inlineStr">
        <is>
          <t>test/v32.test.ts</t>
        </is>
      </c>
      <c r="B307" s="15" t="inlineStr">
        <is>
          <t>—</t>
        </is>
      </c>
      <c r="C307" s="15" t="inlineStr">
        <is>
          <t>P1 R12 extends only zero-order evidence</t>
        </is>
      </c>
      <c r="D307" s="28" t="inlineStr">
        <is>
          <t>PASS</t>
        </is>
      </c>
      <c r="E307" s="31" t="n">
        <v>4</v>
      </c>
    </row>
    <row r="308">
      <c r="A308" s="15" t="inlineStr">
        <is>
          <t>test/v32.test.ts</t>
        </is>
      </c>
      <c r="B308" s="15" t="inlineStr">
        <is>
          <t>—</t>
        </is>
      </c>
      <c r="C308" s="15" t="inlineStr">
        <is>
          <t>P1 R13 extends only zero-order evidence</t>
        </is>
      </c>
      <c r="D308" s="28" t="inlineStr">
        <is>
          <t>PASS</t>
        </is>
      </c>
      <c r="E308" s="31" t="n">
        <v>25.4</v>
      </c>
    </row>
    <row r="309">
      <c r="A309" s="15" t="inlineStr">
        <is>
          <t>test/v32.test.ts</t>
        </is>
      </c>
      <c r="B309" s="15" t="inlineStr">
        <is>
          <t>—</t>
        </is>
      </c>
      <c r="C309" s="15" t="inlineStr">
        <is>
          <t>P1 R16 extends only zero-order evidence</t>
        </is>
      </c>
      <c r="D309" s="28" t="inlineStr">
        <is>
          <t>PASS</t>
        </is>
      </c>
      <c r="E309" s="31" t="n">
        <v>4.6</v>
      </c>
    </row>
    <row r="310">
      <c r="A310" s="15" t="inlineStr">
        <is>
          <t>test/v32.test.ts</t>
        </is>
      </c>
      <c r="B310" s="15" t="inlineStr">
        <is>
          <t>—</t>
        </is>
      </c>
      <c r="C310" s="15" t="inlineStr">
        <is>
          <t>P1 R17 extends only zero-order evidence</t>
        </is>
      </c>
      <c r="D310" s="28" t="inlineStr">
        <is>
          <t>PASS</t>
        </is>
      </c>
      <c r="E310" s="31" t="n">
        <v>6.8</v>
      </c>
    </row>
    <row r="311">
      <c r="A311" s="15" t="inlineStr">
        <is>
          <t>test/v32.test.ts</t>
        </is>
      </c>
      <c r="B311" s="15" t="inlineStr">
        <is>
          <t>—</t>
        </is>
      </c>
      <c r="C311" s="15" t="inlineStr">
        <is>
          <t>P1 keeps original spend thresholds even when the older zero-order window spends less</t>
        </is>
      </c>
      <c r="D311" s="28" t="inlineStr">
        <is>
          <t>PASS</t>
        </is>
      </c>
      <c r="E311" s="31" t="n">
        <v>2.3</v>
      </c>
    </row>
    <row r="312">
      <c r="A312" s="15" t="inlineStr">
        <is>
          <t>test/v32.test.ts</t>
        </is>
      </c>
      <c r="B312" s="15" t="inlineStr">
        <is>
          <t>—</t>
        </is>
      </c>
      <c r="C312" s="15" t="inlineStr">
        <is>
          <t>P1 moves robust zero-day check independently of the reset window</t>
        </is>
      </c>
      <c r="D312" s="28" t="inlineStr">
        <is>
          <t>PASS</t>
        </is>
      </c>
      <c r="E312" s="31" t="n">
        <v>1.9</v>
      </c>
    </row>
    <row r="313">
      <c r="A313" s="15" t="inlineStr">
        <is>
          <t>test/v32.test.ts</t>
        </is>
      </c>
      <c r="B313" s="15" t="inlineStr">
        <is>
          <t>—</t>
        </is>
      </c>
      <c r="C313" s="15" t="inlineStr">
        <is>
          <t>P1 preserves the entire R13 interval since R12, beyond 30 days</t>
        </is>
      </c>
      <c r="D313" s="28" t="inlineStr">
        <is>
          <t>PASS</t>
        </is>
      </c>
      <c r="E313" s="31" t="n">
        <v>2.6</v>
      </c>
    </row>
    <row r="314">
      <c r="A314" s="15" t="inlineStr">
        <is>
          <t>test/v32.test.ts</t>
        </is>
      </c>
      <c r="B314" s="15" t="inlineStr">
        <is>
          <t>—</t>
        </is>
      </c>
      <c r="C314" s="15" t="inlineStr">
        <is>
          <t>P1 uses older zero window but original spend, and vetoes every recent date</t>
        </is>
      </c>
      <c r="D314" s="28" t="inlineStr">
        <is>
          <t>PASS</t>
        </is>
      </c>
      <c r="E314" s="31" t="n">
        <v>56.4</v>
      </c>
    </row>
    <row r="315">
      <c r="A315" s="15" t="inlineStr">
        <is>
          <t>test/v32.test.ts</t>
        </is>
      </c>
      <c r="B315" s="15" t="inlineStr">
        <is>
          <t>—</t>
        </is>
      </c>
      <c r="C315" s="15" t="inlineStr">
        <is>
          <t>P2 calendar guard survives reset, remains OR, and requires zero orders</t>
        </is>
      </c>
      <c r="D315" s="28" t="inlineStr">
        <is>
          <t>PASS</t>
        </is>
      </c>
      <c r="E315" s="31" t="n">
        <v>8.4</v>
      </c>
    </row>
    <row r="316">
      <c r="A316" s="15" t="inlineStr">
        <is>
          <t>test/v32.test.ts</t>
        </is>
      </c>
      <c r="B316" s="15" t="inlineStr">
        <is>
          <t>—</t>
        </is>
      </c>
      <c r="C316" s="15" t="inlineStr">
        <is>
          <t>P3 only R08 bypasses the three day schedule</t>
        </is>
      </c>
      <c r="D316" s="28" t="inlineStr">
        <is>
          <t>PASS</t>
        </is>
      </c>
      <c r="E316" s="31" t="n">
        <v>3.5</v>
      </c>
    </row>
    <row r="317">
      <c r="A317" s="15" t="inlineStr">
        <is>
          <t>test/v32.test.ts</t>
        </is>
      </c>
      <c r="B317" s="15" t="inlineStr">
        <is>
          <t>—</t>
        </is>
      </c>
      <c r="C317" s="15" t="inlineStr">
        <is>
          <t>P3 verdict requires actual ALERT events in all three phases</t>
        </is>
      </c>
      <c r="D317" s="28" t="inlineStr">
        <is>
          <t>PASS</t>
        </is>
      </c>
      <c r="E317" s="31" t="n">
        <v>26.2</v>
      </c>
    </row>
    <row r="318">
      <c r="A318" s="15" t="inlineStr">
        <is>
          <t>test/v32.test.ts</t>
        </is>
      </c>
      <c r="B318" s="15" t="inlineStr">
        <is>
          <t>—</t>
        </is>
      </c>
      <c r="C318" s="15" t="inlineStr">
        <is>
          <t>P4 blocks only R06 for N calendar days after a verified source negative</t>
        </is>
      </c>
      <c r="D318" s="28" t="inlineStr">
        <is>
          <t>PASS</t>
        </is>
      </c>
      <c r="E318" s="31" t="n">
        <v>8.5</v>
      </c>
    </row>
    <row r="319">
      <c r="A319" s="15" t="inlineStr">
        <is>
          <t>test/v32.test.ts</t>
        </is>
      </c>
      <c r="B319" s="15" t="inlineStr">
        <is>
          <t>—</t>
        </is>
      </c>
      <c r="C319" s="15" t="inlineStr">
        <is>
          <t>P4 failed negative creates no grace</t>
        </is>
      </c>
      <c r="D319" s="28" t="inlineStr">
        <is>
          <t>PASS</t>
        </is>
      </c>
      <c r="E319" s="31" t="n">
        <v>1.8</v>
      </c>
    </row>
    <row r="320">
      <c r="A320" s="15" t="inlineStr">
        <is>
          <t>test/v32.test.ts</t>
        </is>
      </c>
      <c r="B320" s="15" t="inlineStr">
        <is>
          <t>—</t>
        </is>
      </c>
      <c r="C320" s="15" t="inlineStr">
        <is>
          <t>P4 failed verify creates no grace</t>
        </is>
      </c>
      <c r="D320" s="28" t="inlineStr">
        <is>
          <t>PASS</t>
        </is>
      </c>
      <c r="E320" s="31" t="n">
        <v>3</v>
      </c>
    </row>
    <row r="321">
      <c r="A321" s="15" t="inlineStr">
        <is>
          <t>test/v32.test.ts</t>
        </is>
      </c>
      <c r="B321" s="15" t="inlineStr">
        <is>
          <t>—</t>
        </is>
      </c>
      <c r="C321" s="15" t="inlineStr">
        <is>
          <t>P4 starts grace only at successful verified negative, and leaves R05 enabled</t>
        </is>
      </c>
      <c r="D321" s="28" t="inlineStr">
        <is>
          <t>PASS</t>
        </is>
      </c>
      <c r="E321" s="31" t="n">
        <v>2.8</v>
      </c>
    </row>
    <row r="322">
      <c r="A322" s="15" t="inlineStr">
        <is>
          <t>test/v32.test.ts</t>
        </is>
      </c>
      <c r="B322" s="15" t="inlineStr">
        <is>
          <t>—</t>
        </is>
      </c>
      <c r="C322" s="15" t="inlineStr">
        <is>
          <t>P5 R02 has configurable hysteresis</t>
        </is>
      </c>
      <c r="D322" s="28" t="inlineStr">
        <is>
          <t>PASS</t>
        </is>
      </c>
      <c r="E322" s="31" t="n">
        <v>3.1</v>
      </c>
    </row>
    <row r="323">
      <c r="A323" s="15" t="inlineStr">
        <is>
          <t>test/v32.test.ts</t>
        </is>
      </c>
      <c r="B323" s="15" t="inlineStr">
        <is>
          <t>—</t>
        </is>
      </c>
      <c r="C323" s="15" t="inlineStr">
        <is>
          <t>P5 R03 has configurable hysteresis</t>
        </is>
      </c>
      <c r="D323" s="28" t="inlineStr">
        <is>
          <t>PASS</t>
        </is>
      </c>
      <c r="E323" s="31" t="n">
        <v>8.5</v>
      </c>
    </row>
    <row r="324">
      <c r="A324" s="15" t="inlineStr">
        <is>
          <t>test/v32.test.ts</t>
        </is>
      </c>
      <c r="B324" s="15" t="inlineStr">
        <is>
          <t>—</t>
        </is>
      </c>
      <c r="C324" s="15" t="inlineStr">
        <is>
          <t>P5 R04 has configurable hysteresis</t>
        </is>
      </c>
      <c r="D324" s="28" t="inlineStr">
        <is>
          <t>PASS</t>
        </is>
      </c>
      <c r="E324" s="31" t="n">
        <v>2.7</v>
      </c>
    </row>
    <row r="325">
      <c r="A325" s="15" t="inlineStr">
        <is>
          <t>test/v32.test.ts</t>
        </is>
      </c>
      <c r="B325" s="15" t="inlineStr">
        <is>
          <t>—</t>
        </is>
      </c>
      <c r="C325" s="15" t="inlineStr">
        <is>
          <t>P5 R04B uses the separately configurable winning budget threshold</t>
        </is>
      </c>
      <c r="D325" s="28" t="inlineStr">
        <is>
          <t>PASS</t>
        </is>
      </c>
      <c r="E325" s="31" t="n">
        <v>1.8</v>
      </c>
    </row>
    <row r="326">
      <c r="A326" s="15" t="inlineStr">
        <is>
          <t>test/v32.test.ts</t>
        </is>
      </c>
      <c r="B326" s="15" t="inlineStr">
        <is>
          <t>—</t>
        </is>
      </c>
      <c r="C326" s="15" t="inlineStr">
        <is>
          <t>P5 R05 has configurable hysteresis</t>
        </is>
      </c>
      <c r="D326" s="28" t="inlineStr">
        <is>
          <t>PASS</t>
        </is>
      </c>
      <c r="E326" s="31" t="n">
        <v>2.4</v>
      </c>
    </row>
    <row r="327">
      <c r="A327" s="15" t="inlineStr">
        <is>
          <t>test/v32.test.ts</t>
        </is>
      </c>
      <c r="B327" s="15" t="inlineStr">
        <is>
          <t>—</t>
        </is>
      </c>
      <c r="C327" s="15" t="inlineStr">
        <is>
          <t>P5 R10 applies hysteresis independently to W14 and W_post (false)</t>
        </is>
      </c>
      <c r="D327" s="28" t="inlineStr">
        <is>
          <t>PASS</t>
        </is>
      </c>
      <c r="E327" s="31" t="n">
        <v>1.8</v>
      </c>
    </row>
    <row r="328">
      <c r="A328" s="15" t="inlineStr">
        <is>
          <t>test/v32.test.ts</t>
        </is>
      </c>
      <c r="B328" s="15" t="inlineStr">
        <is>
          <t>—</t>
        </is>
      </c>
      <c r="C328" s="15" t="inlineStr">
        <is>
          <t>P5 R10 applies hysteresis independently to W14 and W_post (true)</t>
        </is>
      </c>
      <c r="D328" s="28" t="inlineStr">
        <is>
          <t>PASS</t>
        </is>
      </c>
      <c r="E328" s="31" t="n">
        <v>1.8</v>
      </c>
    </row>
    <row r="329">
      <c r="A329" s="15" t="inlineStr">
        <is>
          <t>test/v32.test.ts</t>
        </is>
      </c>
      <c r="B329" s="15" t="inlineStr">
        <is>
          <t>—</t>
        </is>
      </c>
      <c r="C329" s="15" t="inlineStr">
        <is>
          <t>P5 R10 uses bid hysteresis in every ACoS gate</t>
        </is>
      </c>
      <c r="D329" s="28" t="inlineStr">
        <is>
          <t>PASS</t>
        </is>
      </c>
      <c r="E329" s="31" t="n">
        <v>4.4</v>
      </c>
    </row>
    <row r="330">
      <c r="A330" s="15" t="inlineStr">
        <is>
          <t>test/v32.test.ts</t>
        </is>
      </c>
      <c r="B330" s="15" t="inlineStr">
        <is>
          <t>—</t>
        </is>
      </c>
      <c r="C330" s="15" t="inlineStr">
        <is>
          <t>P5 R11 uses bid hysteresis in every ACoS gate</t>
        </is>
      </c>
      <c r="D330" s="28" t="inlineStr">
        <is>
          <t>PASS</t>
        </is>
      </c>
      <c r="E330" s="31" t="n">
        <v>2.6</v>
      </c>
    </row>
    <row r="331">
      <c r="A331" s="15" t="inlineStr">
        <is>
          <t>test/v32.test.ts</t>
        </is>
      </c>
      <c r="B331" s="15" t="inlineStr">
        <is>
          <t>—</t>
        </is>
      </c>
      <c r="C331" s="15" t="inlineStr">
        <is>
          <t>P6 audit exposes clean day count and excludes every bucket on a capped date/hour</t>
        </is>
      </c>
      <c r="D331" s="28" t="inlineStr">
        <is>
          <t>PASS</t>
        </is>
      </c>
      <c r="E331" s="31" t="n">
        <v>3.7</v>
      </c>
    </row>
    <row r="332">
      <c r="A332" s="15" t="inlineStr">
        <is>
          <t>test/v32.test.ts</t>
        </is>
      </c>
      <c r="B332" s="15" t="inlineStr">
        <is>
          <t>—</t>
        </is>
      </c>
      <c r="C332" s="15" t="inlineStr">
        <is>
          <t>P6 requires 20 distinct uncapped days (19)</t>
        </is>
      </c>
      <c r="D332" s="28" t="inlineStr">
        <is>
          <t>PASS</t>
        </is>
      </c>
      <c r="E332" s="31" t="n">
        <v>11.6</v>
      </c>
    </row>
    <row r="333">
      <c r="A333" s="15" t="inlineStr">
        <is>
          <t>test/v32.test.ts</t>
        </is>
      </c>
      <c r="B333" s="15" t="inlineStr">
        <is>
          <t>—</t>
        </is>
      </c>
      <c r="C333" s="15" t="inlineStr">
        <is>
          <t>P6 requires 20 distinct uncapped days (20)</t>
        </is>
      </c>
      <c r="D333" s="28" t="inlineStr">
        <is>
          <t>PASS</t>
        </is>
      </c>
      <c r="E333" s="31" t="n">
        <v>8.1</v>
      </c>
    </row>
    <row r="334">
      <c r="A334" s="15" t="inlineStr">
        <is>
          <t>test/v32.test.ts</t>
        </is>
      </c>
      <c r="B334" s="15" t="inlineStr">
        <is>
          <t>—</t>
        </is>
      </c>
      <c r="C334" s="15" t="inlineStr">
        <is>
          <t>all flags off reproduce v3.1 state, audit, decisions and API hashes</t>
        </is>
      </c>
      <c r="D334" s="28" t="inlineStr">
        <is>
          <t>PASS</t>
        </is>
      </c>
      <c r="E334" s="31" t="n">
        <v>974.1</v>
      </c>
    </row>
    <row r="335">
      <c r="A335" s="15" t="inlineStr">
        <is>
          <t>test/v32.test.ts</t>
        </is>
      </c>
      <c r="B335" s="15" t="inlineStr">
        <is>
          <t>—</t>
        </is>
      </c>
      <c r="C335" s="15" t="inlineStr">
        <is>
          <t>named variants share ordered baseline seeds and expose paired rates</t>
        </is>
      </c>
      <c r="D335" s="28" t="inlineStr">
        <is>
          <t>PASS</t>
        </is>
      </c>
      <c r="E335" s="31" t="n">
        <v>753</v>
      </c>
    </row>
    <row r="336">
      <c r="A336" s="15" t="inlineStr">
        <is>
          <t>test/v32.test.ts</t>
        </is>
      </c>
      <c r="B336" s="15" t="inlineStr">
        <is>
          <t>—</t>
        </is>
      </c>
      <c r="C336" s="15" t="inlineStr">
        <is>
          <t>paired rates align by seed and rank profit upward, other metrics downward</t>
        </is>
      </c>
      <c r="D336" s="28" t="inlineStr">
        <is>
          <t>PASS</t>
        </is>
      </c>
      <c r="E336" s="31" t="n">
        <v>0.3</v>
      </c>
    </row>
    <row r="337">
      <c r="A337" s="15" t="inlineStr">
        <is>
          <t>test/v32.test.ts</t>
        </is>
      </c>
      <c r="B337" s="15" t="inlineStr">
        <is>
          <t>—</t>
        </is>
      </c>
      <c r="C337" s="15" t="inlineStr">
        <is>
          <t>population preflight aborts before comparing when baseline lacks premature signal</t>
        </is>
      </c>
      <c r="D337" s="28" t="inlineStr">
        <is>
          <t>PASS</t>
        </is>
      </c>
      <c r="E337" s="31" t="n">
        <v>61.8</v>
      </c>
    </row>
    <row r="338">
      <c r="A338" s="15" t="inlineStr">
        <is>
          <t>test/v32.test.ts</t>
        </is>
      </c>
      <c r="B338" s="15" t="inlineStr">
        <is>
          <t>—</t>
        </is>
      </c>
      <c r="C338" s="15" t="inlineStr">
        <is>
          <t>rejects invalid maturity and grace overrides</t>
        </is>
      </c>
      <c r="D338" s="28" t="inlineStr">
        <is>
          <t>PASS</t>
        </is>
      </c>
      <c r="E338" s="31" t="n">
        <v>1</v>
      </c>
    </row>
    <row r="339">
      <c r="A339" s="15" t="inlineStr">
        <is>
          <t>test/v32.test.ts</t>
        </is>
      </c>
      <c r="B339" s="15" t="inlineStr">
        <is>
          <t>—</t>
        </is>
      </c>
      <c r="C339" s="15" t="inlineStr">
        <is>
          <t>report renders named v3.2 experiments with deltas and paired rates</t>
        </is>
      </c>
      <c r="D339" s="28" t="inlineStr">
        <is>
          <t>PASS</t>
        </is>
      </c>
      <c r="E339" s="31" t="n">
        <v>11.3</v>
      </c>
    </row>
    <row r="340">
      <c r="A340" s="15" t="inlineStr">
        <is>
          <t>test/v32.test.ts</t>
        </is>
      </c>
      <c r="B340" s="15" t="inlineStr">
        <is>
          <t>—</t>
        </is>
      </c>
      <c r="C340" s="15" t="inlineStr">
        <is>
          <t>v32 defaults preserve legacy config hash</t>
        </is>
      </c>
      <c r="D340" s="28" t="inlineStr">
        <is>
          <t>PASS</t>
        </is>
      </c>
      <c r="E340" s="31" t="n">
        <v>3</v>
      </c>
    </row>
    <row r="341">
      <c r="A341" s="15" t="inlineStr">
        <is>
          <t>test/wrong-zero.test.ts</t>
        </is>
      </c>
      <c r="B341" s="15" t="inlineStr">
        <is>
          <t>—</t>
        </is>
      </c>
      <c r="C341" s="15" t="inlineStr">
        <is>
          <t>R13 floor branch excludes an unused since-R12 lookback</t>
        </is>
      </c>
      <c r="D341" s="28" t="inlineStr">
        <is>
          <t>PASS</t>
        </is>
      </c>
      <c r="E341" s="31" t="n">
        <v>3.3</v>
      </c>
    </row>
    <row r="342">
      <c r="A342" s="15" t="inlineStr">
        <is>
          <t>test/wrong-zero.test.ts</t>
        </is>
      </c>
      <c r="B342" s="15" t="inlineStr">
        <is>
          <t>—</t>
        </is>
      </c>
      <c r="C342" s="15" t="inlineStr">
        <is>
          <t>counts overlapping evidence once per decision and only actual permanent pauses</t>
        </is>
      </c>
      <c r="D342" s="28" t="inlineStr">
        <is>
          <t>PASS</t>
        </is>
      </c>
      <c r="E342" s="31" t="n">
        <v>16.9</v>
      </c>
    </row>
    <row r="343">
      <c r="A343" s="15" t="inlineStr">
        <is>
          <t>test/wrong-zero.test.ts</t>
        </is>
      </c>
      <c r="B343" s="15" t="inlineStr">
        <is>
          <t>—</t>
        </is>
      </c>
      <c r="C343" s="15" t="inlineStr">
        <is>
          <t>excludes R05 positive-order branch from zero-order evidence</t>
        </is>
      </c>
      <c r="D343" s="28" t="inlineStr">
        <is>
          <t>PASS</t>
        </is>
      </c>
      <c r="E343" s="31" t="n">
        <v>1.4</v>
      </c>
    </row>
    <row r="344">
      <c r="A344" s="15" t="inlineStr">
        <is>
          <t>test/wrong-zero.test.ts</t>
        </is>
      </c>
      <c r="B344" s="15" t="inlineStr">
        <is>
          <t>—</t>
        </is>
      </c>
      <c r="C344" s="15" t="inlineStr">
        <is>
          <t>exports decision windows and mature order counts for replay from Monte Carlo JSON</t>
        </is>
      </c>
      <c r="D344" s="28" t="inlineStr">
        <is>
          <t>PASS</t>
        </is>
      </c>
      <c r="E344" s="31" t="n">
        <v>299.1</v>
      </c>
    </row>
    <row r="345">
      <c r="A345" s="15" t="inlineStr">
        <is>
          <t>test/wrong-zero.test.ts</t>
        </is>
      </c>
      <c r="B345" s="15" t="inlineStr">
        <is>
          <t>—</t>
        </is>
      </c>
      <c r="C345" s="15" t="inlineStr">
        <is>
          <t>measures identical decisions independently of variant config with positive and immediate-lag controls</t>
        </is>
      </c>
      <c r="D345" s="28" t="inlineStr">
        <is>
          <t>PASS</t>
        </is>
      </c>
      <c r="E345" s="31" t="n">
        <v>2483</v>
      </c>
    </row>
    <row r="346">
      <c r="A346" s="15" t="inlineStr">
        <is>
          <t>test/wrong-zero.test.ts</t>
        </is>
      </c>
      <c r="B346" s="15" t="inlineStr">
        <is>
          <t>—</t>
        </is>
      </c>
      <c r="C346" s="15" t="inlineStr">
        <is>
          <t>records action delay from the first spend/click threshold day</t>
        </is>
      </c>
      <c r="D346" s="28" t="inlineStr">
        <is>
          <t>PASS</t>
        </is>
      </c>
      <c r="E346" s="31" t="n">
        <v>242.4</v>
      </c>
    </row>
  </sheetData>
  <autoFilter ref="A4:E3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8" customWidth="1" min="3" max="3"/>
    <col width="62" customWidth="1" min="4" max="4"/>
    <col width="20" customWidth="1" min="5" max="5"/>
    <col width="28" customWidth="1" min="6" max="6"/>
  </cols>
  <sheetData>
    <row r="1">
      <c r="A1" s="1" t="inlineStr">
        <is>
          <t>Kết quả thử nghiệm các đề xuất v3.2</t>
        </is>
      </c>
    </row>
    <row r="2">
      <c r="A2" s="2" t="inlineStr">
        <is>
          <t>Mỗi đề xuất so với v3.1 trên cùng 100 seed Monte Carlo + edge case. Chi tiết: simulator/docs/simulator/v3.2-results.md</t>
        </is>
      </c>
    </row>
    <row r="4">
      <c r="A4" s="14" t="inlineStr">
        <is>
          <t>Mã</t>
        </is>
      </c>
      <c r="B4" s="14" t="inlineStr">
        <is>
          <t>Đề xuất</t>
        </is>
      </c>
      <c r="C4" s="14" t="inlineStr">
        <is>
          <t>Vấn đề ở v3.1</t>
        </is>
      </c>
      <c r="D4" s="14" t="inlineStr">
        <is>
          <t>Kết quả đo</t>
        </is>
      </c>
      <c r="E4" s="14" t="inlineStr">
        <is>
          <t>Kết luận</t>
        </is>
      </c>
      <c r="F4" s="14" t="inlineStr">
        <is>
          <t>Quyết định</t>
        </is>
      </c>
    </row>
    <row r="5">
      <c r="A5" s="15" t="inlineStr">
        <is>
          <t>P1</t>
        </is>
      </c>
      <c r="B5" s="15" t="inlineStr">
        <is>
          <t>Dùng dữ liệu cũ hơn (D-3/D-5/D-8) cho điều kiện "0 đơn"</t>
        </is>
      </c>
      <c r="C5" s="15" t="inlineStr">
        <is>
          <t>Rule "0 đơn" có thể quyết định khi đơn chưa về</t>
        </is>
      </c>
      <c r="D5" s="15" t="inlineStr">
        <is>
          <t>Độ trễ bình thường: v3.1 không có quyết định sai; D-8 làm tiền lãng phí $48 → $106, lợi nhuận −$504. Đơn về rất trễ: D-8 chỉ giảm ~30% pause sai</t>
        </is>
      </c>
      <c r="E5" s="30" t="inlineStr">
        <is>
          <t>THUA</t>
        </is>
      </c>
      <c r="F5" s="15" t="inlineStr">
        <is>
          <t>Không đưa vào v3.2</t>
        </is>
      </c>
    </row>
    <row r="6">
      <c r="A6" s="15" t="inlineStr">
        <is>
          <t>P2</t>
        </is>
      </c>
      <c r="B6" s="15" t="inlineStr">
        <is>
          <t>R06 thêm điều kiện 14 ngày lịch (không cắt theo reset)</t>
        </is>
      </c>
      <c r="C6" s="15" t="inlineStr">
        <is>
          <t>B2: R06 tính thiếu tiền đã đốt</t>
        </is>
      </c>
      <c r="D6" s="15" t="inlineStr">
        <is>
          <t>Mọi chỉ số bằng v3.1; R06 vẫn ngày 24</t>
        </is>
      </c>
      <c r="E6" s="28" t="inlineStr">
        <is>
          <t>THẮNG (không xấu đi)</t>
        </is>
      </c>
      <c r="F6" s="15" t="inlineStr">
        <is>
          <t>Giữ làm tùy chọn, chưa đưa vào</t>
        </is>
      </c>
    </row>
    <row r="7">
      <c r="A7" s="15" t="inlineStr">
        <is>
          <t>P3</t>
        </is>
      </c>
      <c r="B7" s="15" t="inlineStr">
        <is>
          <t>R08 chạy hằng ngày</t>
        </is>
      </c>
      <c r="C7" s="15" t="inlineStr">
        <is>
          <t>B1: ALERT phụ thuộc ngày bắt đầu lịch</t>
        </is>
      </c>
      <c r="D7" s="15" t="inlineStr">
        <is>
          <t>ALERT ngày 18 ở cả 3 pha; không thêm quyết định sai khi bão attribution; đơn về rất trễ: ALERT sai TB 0.15 → 0.18/lượt</t>
        </is>
      </c>
      <c r="E7" s="28" t="inlineStr">
        <is>
          <t>THẮNG</t>
        </is>
      </c>
      <c r="F7" s="15" t="inlineStr">
        <is>
          <t>Đưa vào v3.2 (kèm lưu ý)</t>
        </is>
      </c>
    </row>
    <row r="8">
      <c r="A8" s="15" t="inlineStr">
        <is>
          <t>P4</t>
        </is>
      </c>
      <c r="B8" s="15" t="inlineStr">
        <is>
          <t>7 ngày ân hạn harvest cho campaign nguồn</t>
        </is>
      </c>
      <c r="C8" s="15" t="inlineStr">
        <is>
          <t>E6: harvest làm nguồn bị R06 pause</t>
        </is>
      </c>
      <c r="D8" s="15" t="inlineStr">
        <is>
          <t>E6 không còn bị pause; tiền lãng phí TB −$8.10; lợi nhuận không đổi</t>
        </is>
      </c>
      <c r="E8" s="28" t="inlineStr">
        <is>
          <t>THẮNG</t>
        </is>
      </c>
      <c r="F8" s="15" t="inlineStr">
        <is>
          <t>Đưa vào v3.2</t>
        </is>
      </c>
    </row>
    <row r="9">
      <c r="A9" s="15" t="inlineStr">
        <is>
          <t>P5</t>
        </is>
      </c>
      <c r="B9" s="15" t="inlineStr">
        <is>
          <t>Vùng đệm quanh ngưỡng ACoS</t>
        </is>
      </c>
      <c r="C9" s="15" t="inlineStr">
        <is>
          <t>Bid/budget lên xuống liên tục</t>
        </is>
      </c>
      <c r="D9" s="15" t="inlineStr">
        <is>
          <t>Số lần đảo chiều chỉ giảm ~8% (mục tiêu 40%)</t>
        </is>
      </c>
      <c r="E9" s="30" t="inlineStr">
        <is>
          <t>THUA</t>
        </is>
      </c>
      <c r="F9" s="15" t="inlineStr">
        <is>
          <t>Không đưa vào v3.2</t>
        </is>
      </c>
    </row>
    <row r="10">
      <c r="A10" s="15" t="inlineStr">
        <is>
          <t>P6</t>
        </is>
      </c>
      <c r="B10" s="15" t="inlineStr">
        <is>
          <t>R20/R21 bỏ giờ cạn budget</t>
        </is>
      </c>
      <c r="C10" s="15" t="inlineStr">
        <is>
          <t>A5: học hệ số từ giờ thiếu dữ liệu</t>
        </is>
      </c>
      <c r="D10" s="15" t="inlineStr">
        <is>
          <t>Hệ số học từ giờ cạn budget: 3 → 0; vẫn phát hiện giờ yếu/mạnh</t>
        </is>
      </c>
      <c r="E10" s="28" t="inlineStr">
        <is>
          <t>THẮNG</t>
        </is>
      </c>
      <c r="F10" s="15" t="inlineStr">
        <is>
          <t>Đưa vào v3.2</t>
        </is>
      </c>
    </row>
    <row r="11">
      <c r="A11" s="15" t="inlineStr">
        <is>
          <t>P7</t>
        </is>
      </c>
      <c r="B11" s="15" t="inlineStr">
        <is>
          <t>Sửa câu chữ R04B (~8 ngày lịch)</t>
        </is>
      </c>
      <c r="C11" s="15" t="inlineStr">
        <is>
          <t>Spec ghi "mỗi 3 ngày" nhưng thực tế mỗi 8 ngày</t>
        </is>
      </c>
      <c r="D11" s="15" t="inlineStr">
        <is>
          <t>Golden: ngày 20 / 28 / 36</t>
        </is>
      </c>
      <c r="E11" s="29" t="inlineStr">
        <is>
          <t>Chỉ sửa câu chữ</t>
        </is>
      </c>
      <c r="F11" s="15" t="inlineStr">
        <is>
          <t>Đưa vào v3.2</t>
        </is>
      </c>
    </row>
  </sheetData>
  <autoFilter ref="A4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2026-10-21T10:28:00Z</dcterms:created>
  <dcterms:modified xsi:type="dcterms:W3CDTF">2026-10-21T10:28:00Z</dcterms:modified>
</cp:coreProperties>
</file>